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210" windowWidth="14790" windowHeight="9690"/>
  </bookViews>
  <sheets>
    <sheet name="rawish data" sheetId="1" r:id="rId1"/>
    <sheet name="tables &amp; graphs" sheetId="3" r:id="rId2"/>
  </sheets>
  <calcPr calcId="145621"/>
</workbook>
</file>

<file path=xl/calcChain.xml><?xml version="1.0" encoding="utf-8"?>
<calcChain xmlns="http://schemas.openxmlformats.org/spreadsheetml/2006/main">
  <c r="AR181" i="1" l="1"/>
  <c r="AR88" i="1"/>
  <c r="AI231" i="1" l="1"/>
  <c r="AR231" i="1"/>
  <c r="E88" i="3"/>
  <c r="D88" i="3"/>
  <c r="AC50" i="1" l="1"/>
  <c r="AB53" i="1"/>
  <c r="D60" i="3"/>
  <c r="AB25" i="1"/>
  <c r="P20" i="1"/>
  <c r="U20" i="1"/>
  <c r="AB20" i="1"/>
  <c r="AF232" i="1"/>
  <c r="AA232" i="1"/>
  <c r="V232" i="1"/>
  <c r="AA231" i="1"/>
  <c r="V231" i="1"/>
  <c r="AI173" i="1"/>
  <c r="AR173" i="1"/>
  <c r="AF173" i="1"/>
  <c r="H173" i="1"/>
  <c r="AR78" i="1" l="1"/>
  <c r="AC52" i="1"/>
  <c r="AB50" i="1"/>
  <c r="R221" i="1" l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13" i="1"/>
  <c r="Z208" i="1"/>
  <c r="Z207" i="1"/>
  <c r="Y207" i="1"/>
  <c r="X207" i="1"/>
  <c r="M232" i="1"/>
  <c r="H232" i="1"/>
  <c r="M231" i="1"/>
  <c r="H231" i="1"/>
  <c r="W222" i="1"/>
  <c r="V222" i="1"/>
  <c r="U222" i="1"/>
  <c r="R222" i="1"/>
  <c r="Q222" i="1"/>
  <c r="P222" i="1"/>
  <c r="W221" i="1"/>
  <c r="V221" i="1"/>
  <c r="U221" i="1"/>
  <c r="Q221" i="1"/>
  <c r="P221" i="1"/>
  <c r="AE208" i="1"/>
  <c r="AD208" i="1"/>
  <c r="AC208" i="1"/>
  <c r="Y208" i="1"/>
  <c r="X208" i="1"/>
  <c r="AE207" i="1"/>
  <c r="AD207" i="1"/>
  <c r="AC207" i="1"/>
  <c r="AG232" i="1" l="1"/>
  <c r="AI232" i="1"/>
  <c r="AB221" i="1"/>
  <c r="AC221" i="1"/>
  <c r="AJ231" i="1"/>
  <c r="AJ232" i="1"/>
  <c r="AC222" i="1"/>
  <c r="AF231" i="1"/>
  <c r="AK208" i="1"/>
  <c r="AJ207" i="1"/>
  <c r="AK207" i="1"/>
  <c r="AJ208" i="1"/>
  <c r="AB222" i="1"/>
  <c r="AG231" i="1"/>
  <c r="V147" i="1"/>
  <c r="R145" i="1"/>
  <c r="P145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13" i="1"/>
  <c r="AA192" i="1"/>
  <c r="V192" i="1"/>
  <c r="M192" i="1"/>
  <c r="H192" i="1"/>
  <c r="AA191" i="1"/>
  <c r="V191" i="1"/>
  <c r="M191" i="1"/>
  <c r="H191" i="1"/>
  <c r="AA190" i="1"/>
  <c r="V190" i="1"/>
  <c r="M190" i="1"/>
  <c r="H190" i="1"/>
  <c r="AA189" i="1"/>
  <c r="V189" i="1"/>
  <c r="M189" i="1"/>
  <c r="H189" i="1"/>
  <c r="AA188" i="1"/>
  <c r="V188" i="1"/>
  <c r="M188" i="1"/>
  <c r="H188" i="1"/>
  <c r="AA187" i="1"/>
  <c r="V187" i="1"/>
  <c r="M187" i="1"/>
  <c r="H187" i="1"/>
  <c r="AA186" i="1"/>
  <c r="V186" i="1"/>
  <c r="M186" i="1"/>
  <c r="H186" i="1"/>
  <c r="AA185" i="1"/>
  <c r="V185" i="1"/>
  <c r="M185" i="1"/>
  <c r="H185" i="1"/>
  <c r="AA184" i="1"/>
  <c r="V184" i="1"/>
  <c r="M184" i="1"/>
  <c r="H184" i="1"/>
  <c r="AA183" i="1"/>
  <c r="V183" i="1"/>
  <c r="M183" i="1"/>
  <c r="H183" i="1"/>
  <c r="AA182" i="1"/>
  <c r="V182" i="1"/>
  <c r="M182" i="1"/>
  <c r="H182" i="1"/>
  <c r="AA181" i="1"/>
  <c r="V181" i="1"/>
  <c r="M181" i="1"/>
  <c r="H181" i="1"/>
  <c r="AA180" i="1"/>
  <c r="V180" i="1"/>
  <c r="M180" i="1"/>
  <c r="H180" i="1"/>
  <c r="AA179" i="1"/>
  <c r="V179" i="1"/>
  <c r="M179" i="1"/>
  <c r="H179" i="1"/>
  <c r="AA178" i="1"/>
  <c r="V178" i="1"/>
  <c r="M178" i="1"/>
  <c r="H178" i="1"/>
  <c r="AA177" i="1"/>
  <c r="V177" i="1"/>
  <c r="M177" i="1"/>
  <c r="H177" i="1"/>
  <c r="AA176" i="1"/>
  <c r="V176" i="1"/>
  <c r="M176" i="1"/>
  <c r="H176" i="1"/>
  <c r="AA175" i="1"/>
  <c r="V175" i="1"/>
  <c r="M175" i="1"/>
  <c r="H175" i="1"/>
  <c r="AA174" i="1"/>
  <c r="V174" i="1"/>
  <c r="M174" i="1"/>
  <c r="H174" i="1"/>
  <c r="AA173" i="1"/>
  <c r="V173" i="1"/>
  <c r="M173" i="1"/>
  <c r="W164" i="1"/>
  <c r="V164" i="1"/>
  <c r="U164" i="1"/>
  <c r="R164" i="1"/>
  <c r="Q164" i="1"/>
  <c r="P164" i="1"/>
  <c r="W163" i="1"/>
  <c r="V163" i="1"/>
  <c r="U163" i="1"/>
  <c r="R163" i="1"/>
  <c r="Q163" i="1"/>
  <c r="P163" i="1"/>
  <c r="W162" i="1"/>
  <c r="V162" i="1"/>
  <c r="U162" i="1"/>
  <c r="R162" i="1"/>
  <c r="Q162" i="1"/>
  <c r="P162" i="1"/>
  <c r="W161" i="1"/>
  <c r="V161" i="1"/>
  <c r="U161" i="1"/>
  <c r="R161" i="1"/>
  <c r="Q161" i="1"/>
  <c r="P161" i="1"/>
  <c r="W160" i="1"/>
  <c r="V160" i="1"/>
  <c r="U160" i="1"/>
  <c r="R160" i="1"/>
  <c r="Q160" i="1"/>
  <c r="P160" i="1"/>
  <c r="W159" i="1"/>
  <c r="V159" i="1"/>
  <c r="U159" i="1"/>
  <c r="R159" i="1"/>
  <c r="Q159" i="1"/>
  <c r="P159" i="1"/>
  <c r="W158" i="1"/>
  <c r="V158" i="1"/>
  <c r="U158" i="1"/>
  <c r="R158" i="1"/>
  <c r="Q158" i="1"/>
  <c r="P158" i="1"/>
  <c r="W157" i="1"/>
  <c r="V157" i="1"/>
  <c r="U157" i="1"/>
  <c r="R157" i="1"/>
  <c r="Q157" i="1"/>
  <c r="P157" i="1"/>
  <c r="W156" i="1"/>
  <c r="V156" i="1"/>
  <c r="U156" i="1"/>
  <c r="R156" i="1"/>
  <c r="Q156" i="1"/>
  <c r="P156" i="1"/>
  <c r="W155" i="1"/>
  <c r="V155" i="1"/>
  <c r="U155" i="1"/>
  <c r="R155" i="1"/>
  <c r="Q155" i="1"/>
  <c r="P155" i="1"/>
  <c r="W154" i="1"/>
  <c r="V154" i="1"/>
  <c r="U154" i="1"/>
  <c r="R154" i="1"/>
  <c r="Q154" i="1"/>
  <c r="P154" i="1"/>
  <c r="W153" i="1"/>
  <c r="V153" i="1"/>
  <c r="U153" i="1"/>
  <c r="R153" i="1"/>
  <c r="Q153" i="1"/>
  <c r="P153" i="1"/>
  <c r="W152" i="1"/>
  <c r="V152" i="1"/>
  <c r="U152" i="1"/>
  <c r="R152" i="1"/>
  <c r="Q152" i="1"/>
  <c r="P152" i="1"/>
  <c r="W151" i="1"/>
  <c r="V151" i="1"/>
  <c r="U151" i="1"/>
  <c r="R151" i="1"/>
  <c r="Q151" i="1"/>
  <c r="P151" i="1"/>
  <c r="W150" i="1"/>
  <c r="V150" i="1"/>
  <c r="U150" i="1"/>
  <c r="R150" i="1"/>
  <c r="Q150" i="1"/>
  <c r="P150" i="1"/>
  <c r="W149" i="1"/>
  <c r="V149" i="1"/>
  <c r="U149" i="1"/>
  <c r="R149" i="1"/>
  <c r="Q149" i="1"/>
  <c r="P149" i="1"/>
  <c r="W148" i="1"/>
  <c r="V148" i="1"/>
  <c r="U148" i="1"/>
  <c r="R148" i="1"/>
  <c r="Q148" i="1"/>
  <c r="P148" i="1"/>
  <c r="W147" i="1"/>
  <c r="U147" i="1"/>
  <c r="R147" i="1"/>
  <c r="Q147" i="1"/>
  <c r="P147" i="1"/>
  <c r="W146" i="1"/>
  <c r="V146" i="1"/>
  <c r="U146" i="1"/>
  <c r="R146" i="1"/>
  <c r="Q146" i="1"/>
  <c r="P146" i="1"/>
  <c r="W145" i="1"/>
  <c r="V145" i="1"/>
  <c r="U145" i="1"/>
  <c r="Q145" i="1"/>
  <c r="AR232" i="1" l="1"/>
  <c r="AJ123" i="1"/>
  <c r="AJ120" i="1"/>
  <c r="AJ116" i="1"/>
  <c r="AB145" i="1"/>
  <c r="AJ130" i="1"/>
  <c r="AB155" i="1"/>
  <c r="AB157" i="1"/>
  <c r="AB159" i="1"/>
  <c r="AB161" i="1"/>
  <c r="AJ131" i="1"/>
  <c r="AJ127" i="1"/>
  <c r="AG173" i="1"/>
  <c r="AB158" i="1"/>
  <c r="AI174" i="1"/>
  <c r="AI177" i="1"/>
  <c r="AI178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B150" i="1"/>
  <c r="AB154" i="1"/>
  <c r="AJ113" i="1"/>
  <c r="AB163" i="1"/>
  <c r="AF176" i="1"/>
  <c r="AF178" i="1"/>
  <c r="AF179" i="1"/>
  <c r="AF180" i="1"/>
  <c r="AR180" i="1" s="1"/>
  <c r="AF181" i="1"/>
  <c r="AF182" i="1"/>
  <c r="AF183" i="1"/>
  <c r="AF184" i="1"/>
  <c r="AR184" i="1" s="1"/>
  <c r="AF185" i="1"/>
  <c r="AF186" i="1"/>
  <c r="AF187" i="1"/>
  <c r="AF188" i="1"/>
  <c r="AF189" i="1"/>
  <c r="AF190" i="1"/>
  <c r="AF191" i="1"/>
  <c r="AR191" i="1" s="1"/>
  <c r="AF192" i="1"/>
  <c r="AJ122" i="1"/>
  <c r="AJ118" i="1"/>
  <c r="AK126" i="1"/>
  <c r="AC152" i="1"/>
  <c r="AB160" i="1"/>
  <c r="AB162" i="1"/>
  <c r="AJ124" i="1"/>
  <c r="AJ175" i="1"/>
  <c r="AB146" i="1"/>
  <c r="AB147" i="1"/>
  <c r="AB149" i="1"/>
  <c r="AJ125" i="1"/>
  <c r="AJ129" i="1"/>
  <c r="AK115" i="1"/>
  <c r="AB164" i="1"/>
  <c r="AJ114" i="1"/>
  <c r="AK123" i="1"/>
  <c r="AK125" i="1"/>
  <c r="AB152" i="1"/>
  <c r="AC160" i="1"/>
  <c r="AJ173" i="1"/>
  <c r="AK117" i="1"/>
  <c r="AB148" i="1"/>
  <c r="AG176" i="1"/>
  <c r="AK131" i="1"/>
  <c r="AC148" i="1"/>
  <c r="AB151" i="1"/>
  <c r="AB153" i="1"/>
  <c r="AB156" i="1"/>
  <c r="AC164" i="1"/>
  <c r="AF174" i="1"/>
  <c r="AF175" i="1"/>
  <c r="AJ176" i="1"/>
  <c r="AJ126" i="1"/>
  <c r="AJ128" i="1"/>
  <c r="AJ115" i="1"/>
  <c r="AJ117" i="1"/>
  <c r="AJ119" i="1"/>
  <c r="AJ121" i="1"/>
  <c r="AJ132" i="1"/>
  <c r="AK119" i="1"/>
  <c r="AK121" i="1"/>
  <c r="AK113" i="1"/>
  <c r="AK122" i="1"/>
  <c r="AK127" i="1"/>
  <c r="AK129" i="1"/>
  <c r="AK114" i="1"/>
  <c r="AK118" i="1"/>
  <c r="AK130" i="1"/>
  <c r="AJ174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K116" i="1"/>
  <c r="AK120" i="1"/>
  <c r="AK124" i="1"/>
  <c r="AK128" i="1"/>
  <c r="AK132" i="1"/>
  <c r="AC153" i="1"/>
  <c r="AC157" i="1"/>
  <c r="AC161" i="1"/>
  <c r="AG175" i="1"/>
  <c r="AI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C156" i="1"/>
  <c r="AC151" i="1"/>
  <c r="AC155" i="1"/>
  <c r="AC145" i="1"/>
  <c r="AC149" i="1"/>
  <c r="AG174" i="1"/>
  <c r="AI179" i="1"/>
  <c r="AC147" i="1"/>
  <c r="AC159" i="1"/>
  <c r="AC163" i="1"/>
  <c r="AC146" i="1"/>
  <c r="AC150" i="1"/>
  <c r="AC154" i="1"/>
  <c r="AC158" i="1"/>
  <c r="AC162" i="1"/>
  <c r="AI175" i="1"/>
  <c r="AF177" i="1"/>
  <c r="AR192" i="1" l="1"/>
  <c r="AR187" i="1"/>
  <c r="AR186" i="1"/>
  <c r="AR183" i="1"/>
  <c r="AR182" i="1"/>
  <c r="AR188" i="1"/>
  <c r="AR190" i="1"/>
  <c r="AR177" i="1"/>
  <c r="AR178" i="1"/>
  <c r="AR179" i="1"/>
  <c r="AR175" i="1"/>
  <c r="AR174" i="1"/>
  <c r="AR185" i="1"/>
  <c r="AR189" i="1"/>
  <c r="AR176" i="1"/>
  <c r="AA78" i="1" l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V96" i="1"/>
  <c r="V78" i="1"/>
  <c r="V97" i="1"/>
  <c r="AI97" i="1" s="1"/>
  <c r="V95" i="1"/>
  <c r="AI95" i="1" s="1"/>
  <c r="V94" i="1"/>
  <c r="AI94" i="1" s="1"/>
  <c r="V93" i="1"/>
  <c r="AI93" i="1" s="1"/>
  <c r="V92" i="1"/>
  <c r="AI92" i="1" s="1"/>
  <c r="V91" i="1"/>
  <c r="AI91" i="1" s="1"/>
  <c r="V90" i="1"/>
  <c r="AI90" i="1" s="1"/>
  <c r="V89" i="1"/>
  <c r="AI89" i="1" s="1"/>
  <c r="V88" i="1"/>
  <c r="V87" i="1"/>
  <c r="AI87" i="1" s="1"/>
  <c r="V86" i="1"/>
  <c r="AI86" i="1" s="1"/>
  <c r="V85" i="1"/>
  <c r="AI85" i="1" s="1"/>
  <c r="V84" i="1"/>
  <c r="V83" i="1"/>
  <c r="AI83" i="1" s="1"/>
  <c r="V82" i="1"/>
  <c r="AI82" i="1" s="1"/>
  <c r="V81" i="1"/>
  <c r="AI81" i="1" s="1"/>
  <c r="V80" i="1"/>
  <c r="AI80" i="1" s="1"/>
  <c r="V79" i="1"/>
  <c r="AI79" i="1" s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78" i="1"/>
  <c r="H79" i="1"/>
  <c r="AF79" i="1" s="1"/>
  <c r="H80" i="1"/>
  <c r="AF80" i="1" s="1"/>
  <c r="H81" i="1"/>
  <c r="AF81" i="1" s="1"/>
  <c r="H82" i="1"/>
  <c r="AF82" i="1" s="1"/>
  <c r="H83" i="1"/>
  <c r="AF83" i="1" s="1"/>
  <c r="H84" i="1"/>
  <c r="AF84" i="1" s="1"/>
  <c r="H85" i="1"/>
  <c r="AF85" i="1" s="1"/>
  <c r="H86" i="1"/>
  <c r="AF86" i="1" s="1"/>
  <c r="H87" i="1"/>
  <c r="H88" i="1"/>
  <c r="AF88" i="1" s="1"/>
  <c r="H89" i="1"/>
  <c r="AF89" i="1" s="1"/>
  <c r="H90" i="1"/>
  <c r="AF90" i="1" s="1"/>
  <c r="H91" i="1"/>
  <c r="AF91" i="1" s="1"/>
  <c r="H92" i="1"/>
  <c r="AF92" i="1" s="1"/>
  <c r="H93" i="1"/>
  <c r="AF93" i="1" s="1"/>
  <c r="H94" i="1"/>
  <c r="H95" i="1"/>
  <c r="AF95" i="1" s="1"/>
  <c r="H96" i="1"/>
  <c r="AF96" i="1" s="1"/>
  <c r="H97" i="1"/>
  <c r="AF97" i="1" s="1"/>
  <c r="H78" i="1"/>
  <c r="W37" i="1"/>
  <c r="V37" i="1"/>
  <c r="U37" i="1"/>
  <c r="R37" i="1"/>
  <c r="Q37" i="1"/>
  <c r="P37" i="1"/>
  <c r="W36" i="1"/>
  <c r="V36" i="1"/>
  <c r="U36" i="1"/>
  <c r="R36" i="1"/>
  <c r="Q36" i="1"/>
  <c r="P36" i="1"/>
  <c r="W35" i="1"/>
  <c r="V35" i="1"/>
  <c r="U35" i="1"/>
  <c r="R35" i="1"/>
  <c r="Q35" i="1"/>
  <c r="P35" i="1"/>
  <c r="W34" i="1"/>
  <c r="V34" i="1"/>
  <c r="U34" i="1"/>
  <c r="R34" i="1"/>
  <c r="Q34" i="1"/>
  <c r="P34" i="1"/>
  <c r="W33" i="1"/>
  <c r="V33" i="1"/>
  <c r="U33" i="1"/>
  <c r="R33" i="1"/>
  <c r="Q33" i="1"/>
  <c r="P33" i="1"/>
  <c r="W32" i="1"/>
  <c r="V32" i="1"/>
  <c r="U32" i="1"/>
  <c r="R32" i="1"/>
  <c r="Q32" i="1"/>
  <c r="P32" i="1"/>
  <c r="W31" i="1"/>
  <c r="V31" i="1"/>
  <c r="U31" i="1"/>
  <c r="R31" i="1"/>
  <c r="Q31" i="1"/>
  <c r="P31" i="1"/>
  <c r="W30" i="1"/>
  <c r="V30" i="1"/>
  <c r="U30" i="1"/>
  <c r="R30" i="1"/>
  <c r="Q30" i="1"/>
  <c r="P30" i="1"/>
  <c r="W29" i="1"/>
  <c r="V29" i="1"/>
  <c r="U29" i="1"/>
  <c r="R29" i="1"/>
  <c r="Q29" i="1"/>
  <c r="P29" i="1"/>
  <c r="W28" i="1"/>
  <c r="V28" i="1"/>
  <c r="U28" i="1"/>
  <c r="R28" i="1"/>
  <c r="Q28" i="1"/>
  <c r="P28" i="1"/>
  <c r="W27" i="1"/>
  <c r="V27" i="1"/>
  <c r="U27" i="1"/>
  <c r="R27" i="1"/>
  <c r="Q27" i="1"/>
  <c r="P27" i="1"/>
  <c r="W26" i="1"/>
  <c r="V26" i="1"/>
  <c r="U26" i="1"/>
  <c r="R26" i="1"/>
  <c r="Q26" i="1"/>
  <c r="P26" i="1"/>
  <c r="W25" i="1"/>
  <c r="V25" i="1"/>
  <c r="U25" i="1"/>
  <c r="R25" i="1"/>
  <c r="Q25" i="1"/>
  <c r="P25" i="1"/>
  <c r="W24" i="1"/>
  <c r="V24" i="1"/>
  <c r="U24" i="1"/>
  <c r="R24" i="1"/>
  <c r="Q24" i="1"/>
  <c r="P24" i="1"/>
  <c r="W23" i="1"/>
  <c r="V23" i="1"/>
  <c r="U23" i="1"/>
  <c r="R23" i="1"/>
  <c r="Q23" i="1"/>
  <c r="P23" i="1"/>
  <c r="W22" i="1"/>
  <c r="V22" i="1"/>
  <c r="U22" i="1"/>
  <c r="R22" i="1"/>
  <c r="Q22" i="1"/>
  <c r="P22" i="1"/>
  <c r="W21" i="1"/>
  <c r="V21" i="1"/>
  <c r="U21" i="1"/>
  <c r="R21" i="1"/>
  <c r="Q21" i="1"/>
  <c r="P21" i="1"/>
  <c r="W20" i="1"/>
  <c r="V20" i="1"/>
  <c r="R20" i="1"/>
  <c r="Q20" i="1"/>
  <c r="W19" i="1"/>
  <c r="V19" i="1"/>
  <c r="U19" i="1"/>
  <c r="R19" i="1"/>
  <c r="Q19" i="1"/>
  <c r="P19" i="1"/>
  <c r="W18" i="1"/>
  <c r="V18" i="1"/>
  <c r="U18" i="1"/>
  <c r="R18" i="1"/>
  <c r="Q18" i="1"/>
  <c r="P18" i="1"/>
  <c r="AI88" i="1" l="1"/>
  <c r="AI84" i="1"/>
  <c r="AR84" i="1" s="1"/>
  <c r="AR80" i="1"/>
  <c r="AR92" i="1"/>
  <c r="AR82" i="1"/>
  <c r="AR86" i="1"/>
  <c r="AR90" i="1"/>
  <c r="AR79" i="1"/>
  <c r="AR83" i="1"/>
  <c r="AR91" i="1"/>
  <c r="AR95" i="1"/>
  <c r="AR81" i="1"/>
  <c r="AR85" i="1"/>
  <c r="AR89" i="1"/>
  <c r="AR93" i="1"/>
  <c r="AI78" i="1"/>
  <c r="AR97" i="1"/>
  <c r="AJ96" i="1"/>
  <c r="AJ79" i="1"/>
  <c r="AJ87" i="1"/>
  <c r="AJ95" i="1"/>
  <c r="AJ84" i="1"/>
  <c r="AJ81" i="1"/>
  <c r="AJ85" i="1"/>
  <c r="AJ89" i="1"/>
  <c r="AJ93" i="1"/>
  <c r="AJ97" i="1"/>
  <c r="AJ83" i="1"/>
  <c r="AJ91" i="1"/>
  <c r="AJ80" i="1"/>
  <c r="AJ88" i="1"/>
  <c r="AJ92" i="1"/>
  <c r="AI96" i="1"/>
  <c r="AR96" i="1" s="1"/>
  <c r="AJ82" i="1"/>
  <c r="AJ86" i="1"/>
  <c r="AJ90" i="1"/>
  <c r="AJ94" i="1"/>
  <c r="AJ78" i="1"/>
  <c r="AG97" i="1"/>
  <c r="AG89" i="1"/>
  <c r="AF78" i="1"/>
  <c r="AF94" i="1"/>
  <c r="AR94" i="1" s="1"/>
  <c r="AG78" i="1"/>
  <c r="AG94" i="1"/>
  <c r="AG90" i="1"/>
  <c r="AG86" i="1"/>
  <c r="AG82" i="1"/>
  <c r="AG81" i="1"/>
  <c r="AG96" i="1"/>
  <c r="AG92" i="1"/>
  <c r="AG88" i="1"/>
  <c r="AG84" i="1"/>
  <c r="AG80" i="1"/>
  <c r="AG93" i="1"/>
  <c r="AG85" i="1"/>
  <c r="AF87" i="1"/>
  <c r="AR87" i="1" s="1"/>
  <c r="AG95" i="1"/>
  <c r="AG91" i="1"/>
  <c r="AG87" i="1"/>
  <c r="AG83" i="1"/>
  <c r="AG79" i="1"/>
  <c r="AC20" i="1"/>
  <c r="AC22" i="1"/>
  <c r="AC24" i="1"/>
  <c r="AC26" i="1"/>
  <c r="AC28" i="1"/>
  <c r="AC30" i="1"/>
  <c r="AC32" i="1"/>
  <c r="AC34" i="1"/>
  <c r="AC36" i="1"/>
  <c r="AC18" i="1"/>
  <c r="AB18" i="1"/>
  <c r="AB22" i="1"/>
  <c r="AB24" i="1"/>
  <c r="AB26" i="1"/>
  <c r="AB28" i="1"/>
  <c r="AB30" i="1"/>
  <c r="AB32" i="1"/>
  <c r="AB34" i="1"/>
  <c r="AB36" i="1"/>
  <c r="AC29" i="1"/>
  <c r="AC31" i="1"/>
  <c r="AB19" i="1"/>
  <c r="AB21" i="1"/>
  <c r="AB23" i="1"/>
  <c r="AB27" i="1"/>
  <c r="AB29" i="1"/>
  <c r="AB31" i="1"/>
  <c r="AB33" i="1"/>
  <c r="AB35" i="1"/>
  <c r="AB37" i="1"/>
  <c r="AC19" i="1"/>
  <c r="AC21" i="1"/>
  <c r="AC23" i="1"/>
  <c r="AC25" i="1"/>
  <c r="AC27" i="1"/>
  <c r="AC33" i="1"/>
  <c r="AC35" i="1"/>
  <c r="AC37" i="1"/>
  <c r="E60" i="3" l="1"/>
  <c r="W51" i="1" l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50" i="1"/>
  <c r="R51" i="1"/>
  <c r="AC51" i="1" s="1"/>
  <c r="R52" i="1"/>
  <c r="R53" i="1"/>
  <c r="AC53" i="1" s="1"/>
  <c r="R54" i="1"/>
  <c r="AC54" i="1" s="1"/>
  <c r="R55" i="1"/>
  <c r="AC55" i="1" s="1"/>
  <c r="R56" i="1"/>
  <c r="AC56" i="1" s="1"/>
  <c r="R57" i="1"/>
  <c r="AC57" i="1" s="1"/>
  <c r="R58" i="1"/>
  <c r="AC58" i="1" s="1"/>
  <c r="R59" i="1"/>
  <c r="AC59" i="1" s="1"/>
  <c r="R60" i="1"/>
  <c r="AC60" i="1" s="1"/>
  <c r="R61" i="1"/>
  <c r="AC61" i="1" s="1"/>
  <c r="R62" i="1"/>
  <c r="AC62" i="1" s="1"/>
  <c r="R63" i="1"/>
  <c r="AC63" i="1" s="1"/>
  <c r="R64" i="1"/>
  <c r="AC64" i="1" s="1"/>
  <c r="R65" i="1"/>
  <c r="AC65" i="1" s="1"/>
  <c r="R66" i="1"/>
  <c r="AC66" i="1" s="1"/>
  <c r="R67" i="1"/>
  <c r="AC67" i="1" s="1"/>
  <c r="R68" i="1"/>
  <c r="AC68" i="1" s="1"/>
  <c r="R69" i="1"/>
  <c r="AC69" i="1" s="1"/>
  <c r="R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50" i="1"/>
  <c r="AB68" i="1" l="1"/>
  <c r="AB64" i="1"/>
  <c r="AB60" i="1"/>
  <c r="AB56" i="1"/>
  <c r="AB52" i="1"/>
  <c r="AB67" i="1"/>
  <c r="AB63" i="1"/>
  <c r="AB59" i="1"/>
  <c r="AB55" i="1"/>
  <c r="AB51" i="1"/>
  <c r="AB66" i="1"/>
  <c r="AB62" i="1"/>
  <c r="AB58" i="1"/>
  <c r="AB54" i="1"/>
  <c r="AB69" i="1"/>
  <c r="AB65" i="1"/>
  <c r="AB61" i="1"/>
  <c r="AB57" i="1"/>
</calcChain>
</file>

<file path=xl/sharedStrings.xml><?xml version="1.0" encoding="utf-8"?>
<sst xmlns="http://schemas.openxmlformats.org/spreadsheetml/2006/main" count="503" uniqueCount="147">
  <si>
    <t>trial</t>
  </si>
  <si>
    <t>n = 99</t>
  </si>
  <si>
    <t>b(p) - b(q)</t>
  </si>
  <si>
    <t>c(q)-c(p)</t>
  </si>
  <si>
    <t>p</t>
  </si>
  <si>
    <t>q</t>
  </si>
  <si>
    <t>b(p)-b(q)</t>
  </si>
  <si>
    <t>similarity</t>
  </si>
  <si>
    <t>Russia</t>
  </si>
  <si>
    <t>Poland</t>
  </si>
  <si>
    <t>China</t>
  </si>
  <si>
    <t>India</t>
  </si>
  <si>
    <t>England</t>
  </si>
  <si>
    <t>Iceland</t>
  </si>
  <si>
    <t>Belgium</t>
  </si>
  <si>
    <t>Switserland</t>
  </si>
  <si>
    <t>Bulgary</t>
  </si>
  <si>
    <t>Serbia</t>
  </si>
  <si>
    <t>Greece</t>
  </si>
  <si>
    <t>America</t>
  </si>
  <si>
    <t>Brazil</t>
  </si>
  <si>
    <t>Japan</t>
  </si>
  <si>
    <t>Cyprus</t>
  </si>
  <si>
    <t>Kreta</t>
  </si>
  <si>
    <t>Malta</t>
  </si>
  <si>
    <t>Sweden</t>
  </si>
  <si>
    <t>Finland</t>
  </si>
  <si>
    <t>Netherlands</t>
  </si>
  <si>
    <t>Israel</t>
  </si>
  <si>
    <t>Iran</t>
  </si>
  <si>
    <t>Syria</t>
  </si>
  <si>
    <t>Hungary</t>
  </si>
  <si>
    <t>Austria</t>
  </si>
  <si>
    <t>Turkey</t>
  </si>
  <si>
    <t>Kuweit</t>
  </si>
  <si>
    <t>Iraq</t>
  </si>
  <si>
    <t>Germany</t>
  </si>
  <si>
    <t>Uganda</t>
  </si>
  <si>
    <t>Libia</t>
  </si>
  <si>
    <t>Zaire</t>
  </si>
  <si>
    <t>Angola</t>
  </si>
  <si>
    <t>France</t>
  </si>
  <si>
    <t>Australia</t>
  </si>
  <si>
    <t>New-Zeeland</t>
  </si>
  <si>
    <t>Venezuela</t>
  </si>
  <si>
    <t>Columbia</t>
  </si>
  <si>
    <t>Algery</t>
  </si>
  <si>
    <t>Jordan</t>
  </si>
  <si>
    <t>Indonesia</t>
  </si>
  <si>
    <t>Italy</t>
  </si>
  <si>
    <t>Spain</t>
  </si>
  <si>
    <t>Cuba</t>
  </si>
  <si>
    <t>Haiti</t>
  </si>
  <si>
    <t>North-Korea</t>
  </si>
  <si>
    <t>Albania</t>
  </si>
  <si>
    <t>Luxemburgh</t>
  </si>
  <si>
    <t>Monaco</t>
  </si>
  <si>
    <t>San Marino</t>
  </si>
  <si>
    <t>Madagascar</t>
  </si>
  <si>
    <t>Argentinia</t>
  </si>
  <si>
    <t>Norway</t>
  </si>
  <si>
    <t>Pakistan</t>
  </si>
  <si>
    <t>Algeria</t>
  </si>
  <si>
    <t>Tunis</t>
  </si>
  <si>
    <t>Jamaica</t>
  </si>
  <si>
    <t>a - top</t>
  </si>
  <si>
    <t>b - left</t>
  </si>
  <si>
    <t>c - right</t>
  </si>
  <si>
    <t>Stimuli</t>
  </si>
  <si>
    <t>Categorization</t>
  </si>
  <si>
    <t>Similarity</t>
  </si>
  <si>
    <t>b&gt;c(p) - b&gt;c(q)</t>
  </si>
  <si>
    <t>Dutch students</t>
  </si>
  <si>
    <t>Mturk</t>
  </si>
  <si>
    <t xml:space="preserve">Distractor </t>
  </si>
  <si>
    <t>Countries(both versions)</t>
  </si>
  <si>
    <t>p - condition 1</t>
  </si>
  <si>
    <t>q - condition 2</t>
  </si>
  <si>
    <t>Czech Republic</t>
  </si>
  <si>
    <t>controlling for substitution</t>
  </si>
  <si>
    <t>average</t>
  </si>
  <si>
    <t>Faces study 1a &amp; 1b</t>
  </si>
  <si>
    <t>mTurk</t>
  </si>
  <si>
    <t>Controlling for substitution</t>
  </si>
  <si>
    <t>Sample</t>
  </si>
  <si>
    <t>chi-square</t>
  </si>
  <si>
    <t>Countries study, categorization data from Eindhoven University of Technology</t>
  </si>
  <si>
    <t>b</t>
  </si>
  <si>
    <t>c</t>
  </si>
  <si>
    <t>n = 66</t>
  </si>
  <si>
    <t>n = 65</t>
  </si>
  <si>
    <t>version q</t>
  </si>
  <si>
    <t>version p</t>
  </si>
  <si>
    <t xml:space="preserve">Absolute number of choices pairing a with: </t>
  </si>
  <si>
    <t>Percentage pairing with:</t>
  </si>
  <si>
    <t xml:space="preserve">Change in categorization due to distractor: </t>
  </si>
  <si>
    <t>b(p) - b(q)*</t>
  </si>
  <si>
    <t>c(q)-c(p)**</t>
  </si>
  <si>
    <t>Notes:</t>
  </si>
  <si>
    <r>
      <t xml:space="preserve">* The percentage of participants pairing 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with </t>
    </r>
    <r>
      <rPr>
        <i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in condition </t>
    </r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minus the percentage pairing</t>
    </r>
    <r>
      <rPr>
        <i/>
        <sz val="11"/>
        <color theme="1"/>
        <rFont val="Calibri"/>
        <family val="2"/>
        <scheme val="minor"/>
      </rPr>
      <t xml:space="preserve"> a</t>
    </r>
    <r>
      <rPr>
        <sz val="11"/>
        <color theme="1"/>
        <rFont val="Calibri"/>
        <family val="2"/>
        <scheme val="minor"/>
      </rPr>
      <t xml:space="preserve"> with </t>
    </r>
    <r>
      <rPr>
        <i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in condition </t>
    </r>
    <r>
      <rPr>
        <i/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.</t>
    </r>
  </si>
  <si>
    <r>
      <t xml:space="preserve">** The percentage pairing 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with </t>
    </r>
    <r>
      <rPr>
        <i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in condition </t>
    </r>
    <r>
      <rPr>
        <i/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 xml:space="preserve"> minus the percentage pairing 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with </t>
    </r>
    <r>
      <rPr>
        <i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in condition </t>
    </r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.</t>
    </r>
  </si>
  <si>
    <t>Countries study, Similarity data from Tilburg University</t>
  </si>
  <si>
    <t>Percentage choosing for:</t>
  </si>
  <si>
    <t xml:space="preserve">Change in choice due to distractor: </t>
  </si>
  <si>
    <r>
      <t xml:space="preserve">Absolute number choosing </t>
    </r>
    <r>
      <rPr>
        <i/>
        <sz val="14"/>
        <color theme="1"/>
        <rFont val="Calibri"/>
        <family val="2"/>
        <scheme val="minor"/>
      </rPr>
      <t>a</t>
    </r>
    <r>
      <rPr>
        <sz val="14"/>
        <color theme="1"/>
        <rFont val="Calibri"/>
        <family val="2"/>
        <scheme val="minor"/>
      </rPr>
      <t xml:space="preserve"> as most similar to:</t>
    </r>
  </si>
  <si>
    <t>Absolute ranking numbers condition q</t>
  </si>
  <si>
    <t>b&gt;q&gt;c</t>
  </si>
  <si>
    <t>b&gt;c&gt;q</t>
  </si>
  <si>
    <t>q&gt;b&gt;c</t>
  </si>
  <si>
    <t>c&gt;b&gt;q</t>
  </si>
  <si>
    <t>q&gt;c&gt;b</t>
  </si>
  <si>
    <t>c&gt;q&gt;b</t>
  </si>
  <si>
    <t>Absolute ranking numbers condition p</t>
  </si>
  <si>
    <t>b&gt;p&gt;c</t>
  </si>
  <si>
    <t>b&gt;c&gt;p</t>
  </si>
  <si>
    <t>p&gt;b&gt;c</t>
  </si>
  <si>
    <t>c&gt;b&gt;p</t>
  </si>
  <si>
    <t>p&gt;c&gt;b</t>
  </si>
  <si>
    <t>c&gt;p&gt;b</t>
  </si>
  <si>
    <t>sum b&gt;c</t>
  </si>
  <si>
    <t>sum c&gt;b</t>
  </si>
  <si>
    <t>Percentage ranking:</t>
  </si>
  <si>
    <t>b&gt;c</t>
  </si>
  <si>
    <t>c&gt;b</t>
  </si>
  <si>
    <t>b &gt; c</t>
  </si>
  <si>
    <t>c &gt; b</t>
  </si>
  <si>
    <t>p-value</t>
  </si>
  <si>
    <t>test diff. in proportion</t>
  </si>
  <si>
    <r>
      <t xml:space="preserve">*** Since rankings are mutually exclusive, </t>
    </r>
    <r>
      <rPr>
        <i/>
        <sz val="11"/>
        <color theme="1"/>
        <rFont val="Calibri"/>
        <family val="2"/>
        <scheme val="minor"/>
      </rPr>
      <t>b&gt;c(p) - b&gt;c(q)</t>
    </r>
    <r>
      <rPr>
        <sz val="11"/>
        <color theme="1"/>
        <rFont val="Calibri"/>
        <family val="2"/>
        <scheme val="minor"/>
      </rPr>
      <t xml:space="preserve"> is by definition equal to</t>
    </r>
    <r>
      <rPr>
        <i/>
        <sz val="11"/>
        <color theme="1"/>
        <rFont val="Calibri"/>
        <family val="2"/>
        <scheme val="minor"/>
      </rPr>
      <t xml:space="preserve"> c&gt;b(q) - c&gt;b(p)</t>
    </r>
    <r>
      <rPr>
        <sz val="11"/>
        <color theme="1"/>
        <rFont val="Calibri"/>
        <family val="2"/>
        <scheme val="minor"/>
      </rPr>
      <t>.</t>
    </r>
  </si>
  <si>
    <t>Change in ranking: ***</t>
  </si>
  <si>
    <t>n = 100</t>
  </si>
  <si>
    <t>Countries study, categorization data from mTurk</t>
  </si>
  <si>
    <t>b&amp;q</t>
  </si>
  <si>
    <t>c&amp;q</t>
  </si>
  <si>
    <t>b&amp;c</t>
  </si>
  <si>
    <t>none</t>
  </si>
  <si>
    <t>b&amp;p</t>
  </si>
  <si>
    <t>c&amp;p</t>
  </si>
  <si>
    <t>n = xx</t>
  </si>
  <si>
    <t>Countries study, Similarity data from mTurk</t>
  </si>
  <si>
    <t>Dutch</t>
  </si>
  <si>
    <t>American</t>
  </si>
  <si>
    <t>Faces studies, dutch sample categorization data from Tilburg University, American sample from mTurk.</t>
  </si>
  <si>
    <t>Faces study, dutch sample from Eindhoven University of Technology, American sample from mTurk.</t>
  </si>
  <si>
    <t>n = 103</t>
  </si>
  <si>
    <t>n = 98</t>
  </si>
  <si>
    <t>For description of stimuli (a, b, c, p &amp; q) see tab 2 "tables &amp; graphs")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</si>
</sst>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5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5"/>
      <name val="Times New Roman"/>
      <family val="1"/>
    </font>
    <font>
      <sz val="9"/>
      <color theme="6" tint="-0.499984740745262"/>
      <name val="Times New Roman"/>
      <family val="1"/>
    </font>
    <font>
      <sz val="9"/>
      <color theme="5"/>
      <name val="Times New Roman"/>
      <family val="1"/>
    </font>
    <font>
      <sz val="9"/>
      <name val="Times New Roman"/>
      <family val="1"/>
    </font>
    <font>
      <sz val="9"/>
      <color theme="6" tint="-0.499984740745262"/>
      <name val="Calibri"/>
      <family val="2"/>
      <scheme val="minor"/>
    </font>
    <font>
      <sz val="9"/>
      <color rgb="FFC00000"/>
      <name val="Calibri"/>
      <family val="2"/>
      <scheme val="minor"/>
    </font>
    <font>
      <sz val="9"/>
      <color rgb="FFC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2"/>
      <color theme="6" tint="-0.499984740745262"/>
      <name val="Times New Roman"/>
      <family val="1"/>
    </font>
    <font>
      <sz val="11"/>
      <color theme="6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3F9FB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0" xfId="0" applyFill="1"/>
    <xf numFmtId="0" fontId="1" fillId="0" borderId="0" xfId="0" applyFont="1" applyFill="1"/>
    <xf numFmtId="10" fontId="1" fillId="0" borderId="0" xfId="0" applyNumberFormat="1" applyFont="1" applyFill="1"/>
    <xf numFmtId="10" fontId="3" fillId="0" borderId="0" xfId="0" applyNumberFormat="1" applyFont="1" applyFill="1"/>
    <xf numFmtId="10" fontId="2" fillId="0" borderId="0" xfId="0" applyNumberFormat="1" applyFont="1" applyFill="1"/>
    <xf numFmtId="10" fontId="0" fillId="0" borderId="0" xfId="0" applyNumberFormat="1"/>
    <xf numFmtId="10" fontId="5" fillId="0" borderId="0" xfId="0" applyNumberFormat="1" applyFont="1"/>
    <xf numFmtId="10" fontId="6" fillId="0" borderId="0" xfId="0" applyNumberFormat="1" applyFont="1" applyFill="1"/>
    <xf numFmtId="0" fontId="7" fillId="0" borderId="0" xfId="0" applyFont="1" applyFill="1"/>
    <xf numFmtId="0" fontId="8" fillId="0" borderId="0" xfId="0" applyFont="1"/>
    <xf numFmtId="10" fontId="7" fillId="0" borderId="0" xfId="0" applyNumberFormat="1" applyFont="1" applyFill="1"/>
    <xf numFmtId="10" fontId="9" fillId="0" borderId="0" xfId="0" applyNumberFormat="1" applyFont="1" applyFill="1"/>
    <xf numFmtId="0" fontId="7" fillId="0" borderId="0" xfId="0" applyFont="1"/>
    <xf numFmtId="10" fontId="10" fillId="0" borderId="0" xfId="0" applyNumberFormat="1" applyFont="1"/>
    <xf numFmtId="10" fontId="7" fillId="0" borderId="0" xfId="0" applyNumberFormat="1" applyFont="1"/>
    <xf numFmtId="10" fontId="15" fillId="0" borderId="0" xfId="0" applyNumberFormat="1" applyFont="1"/>
    <xf numFmtId="10" fontId="10" fillId="0" borderId="0" xfId="0" applyNumberFormat="1" applyFont="1" applyFill="1"/>
    <xf numFmtId="10" fontId="16" fillId="0" borderId="0" xfId="0" applyNumberFormat="1" applyFont="1" applyFill="1" applyAlignment="1">
      <alignment horizontal="center"/>
    </xf>
    <xf numFmtId="10" fontId="17" fillId="0" borderId="0" xfId="0" applyNumberFormat="1" applyFont="1" applyAlignment="1">
      <alignment horizontal="center"/>
    </xf>
    <xf numFmtId="10" fontId="17" fillId="0" borderId="0" xfId="0" applyNumberFormat="1" applyFont="1"/>
    <xf numFmtId="0" fontId="17" fillId="0" borderId="0" xfId="0" applyFont="1" applyAlignment="1">
      <alignment horizontal="center"/>
    </xf>
    <xf numFmtId="0" fontId="6" fillId="0" borderId="0" xfId="0" applyFont="1" applyFill="1"/>
    <xf numFmtId="10" fontId="16" fillId="2" borderId="0" xfId="0" applyNumberFormat="1" applyFont="1" applyFill="1" applyAlignment="1">
      <alignment horizontal="center"/>
    </xf>
    <xf numFmtId="10" fontId="17" fillId="2" borderId="0" xfId="0" applyNumberFormat="1" applyFont="1" applyFill="1" applyAlignment="1">
      <alignment horizontal="center"/>
    </xf>
    <xf numFmtId="10" fontId="17" fillId="2" borderId="0" xfId="0" applyNumberFormat="1" applyFont="1" applyFill="1"/>
    <xf numFmtId="0" fontId="17" fillId="2" borderId="0" xfId="0" applyFont="1" applyFill="1" applyAlignment="1">
      <alignment horizontal="center"/>
    </xf>
    <xf numFmtId="10" fontId="8" fillId="2" borderId="0" xfId="0" applyNumberFormat="1" applyFont="1" applyFill="1"/>
    <xf numFmtId="10" fontId="7" fillId="2" borderId="0" xfId="0" applyNumberFormat="1" applyFont="1" applyFill="1" applyAlignment="1">
      <alignment horizontal="center"/>
    </xf>
    <xf numFmtId="10" fontId="8" fillId="2" borderId="0" xfId="0" applyNumberFormat="1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18" fillId="4" borderId="0" xfId="0" applyFont="1" applyFill="1"/>
    <xf numFmtId="0" fontId="0" fillId="5" borderId="0" xfId="0" applyFill="1"/>
    <xf numFmtId="0" fontId="18" fillId="5" borderId="0" xfId="0" applyFont="1" applyFill="1"/>
    <xf numFmtId="0" fontId="0" fillId="2" borderId="0" xfId="0" applyFill="1" applyBorder="1"/>
    <xf numFmtId="0" fontId="19" fillId="2" borderId="0" xfId="0" applyFont="1" applyFill="1" applyBorder="1" applyAlignment="1">
      <alignment horizontal="center"/>
    </xf>
    <xf numFmtId="0" fontId="20" fillId="2" borderId="0" xfId="0" applyFont="1" applyFill="1" applyBorder="1"/>
    <xf numFmtId="0" fontId="19" fillId="4" borderId="0" xfId="0" applyFont="1" applyFill="1" applyBorder="1" applyAlignment="1">
      <alignment horizontal="center"/>
    </xf>
    <xf numFmtId="0" fontId="19" fillId="3" borderId="0" xfId="0" applyFont="1" applyFill="1" applyBorder="1" applyAlignment="1">
      <alignment horizontal="center"/>
    </xf>
    <xf numFmtId="0" fontId="18" fillId="2" borderId="0" xfId="0" applyFont="1" applyFill="1" applyBorder="1"/>
    <xf numFmtId="0" fontId="18" fillId="4" borderId="0" xfId="0" applyFont="1" applyFill="1" applyBorder="1"/>
    <xf numFmtId="0" fontId="0" fillId="4" borderId="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10" fontId="0" fillId="2" borderId="0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19" fillId="4" borderId="3" xfId="0" applyFont="1" applyFill="1" applyBorder="1" applyAlignment="1">
      <alignment horizontal="center"/>
    </xf>
    <xf numFmtId="0" fontId="0" fillId="4" borderId="3" xfId="0" applyFill="1" applyBorder="1"/>
    <xf numFmtId="10" fontId="0" fillId="0" borderId="0" xfId="0" applyNumberFormat="1" applyBorder="1"/>
    <xf numFmtId="0" fontId="19" fillId="2" borderId="6" xfId="0" applyFont="1" applyFill="1" applyBorder="1" applyAlignment="1">
      <alignment horizontal="center"/>
    </xf>
    <xf numFmtId="0" fontId="0" fillId="0" borderId="5" xfId="0" applyBorder="1"/>
    <xf numFmtId="0" fontId="0" fillId="0" borderId="8" xfId="0" applyBorder="1"/>
    <xf numFmtId="0" fontId="21" fillId="2" borderId="1" xfId="0" applyFont="1" applyFill="1" applyBorder="1"/>
    <xf numFmtId="0" fontId="22" fillId="4" borderId="0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22" fillId="4" borderId="3" xfId="0" applyFont="1" applyFill="1" applyBorder="1" applyAlignment="1">
      <alignment horizontal="center"/>
    </xf>
    <xf numFmtId="0" fontId="0" fillId="5" borderId="0" xfId="0" applyFill="1" applyBorder="1"/>
    <xf numFmtId="0" fontId="19" fillId="5" borderId="3" xfId="0" applyFont="1" applyFill="1" applyBorder="1" applyAlignment="1">
      <alignment horizontal="center"/>
    </xf>
    <xf numFmtId="0" fontId="4" fillId="6" borderId="0" xfId="0" applyFont="1" applyFill="1" applyBorder="1"/>
    <xf numFmtId="0" fontId="22" fillId="2" borderId="0" xfId="0" applyFont="1" applyFill="1" applyBorder="1" applyAlignment="1">
      <alignment horizontal="center"/>
    </xf>
    <xf numFmtId="0" fontId="20" fillId="4" borderId="3" xfId="0" applyFont="1" applyFill="1" applyBorder="1"/>
    <xf numFmtId="0" fontId="18" fillId="5" borderId="0" xfId="0" applyFont="1" applyFill="1" applyBorder="1"/>
    <xf numFmtId="0" fontId="19" fillId="5" borderId="0" xfId="0" applyFont="1" applyFill="1" applyBorder="1" applyAlignment="1">
      <alignment horizontal="center"/>
    </xf>
    <xf numFmtId="0" fontId="22" fillId="5" borderId="0" xfId="0" applyFont="1" applyFill="1" applyBorder="1" applyAlignment="1">
      <alignment horizontal="center"/>
    </xf>
    <xf numFmtId="0" fontId="18" fillId="3" borderId="0" xfId="0" applyFont="1" applyFill="1" applyBorder="1"/>
    <xf numFmtId="0" fontId="20" fillId="5" borderId="3" xfId="0" applyFont="1" applyFill="1" applyBorder="1"/>
    <xf numFmtId="0" fontId="18" fillId="3" borderId="0" xfId="0" applyFont="1" applyFill="1"/>
    <xf numFmtId="0" fontId="22" fillId="3" borderId="0" xfId="0" applyFont="1" applyFill="1" applyBorder="1" applyAlignment="1">
      <alignment horizontal="center"/>
    </xf>
    <xf numFmtId="0" fontId="0" fillId="3" borderId="0" xfId="0" applyFill="1" applyBorder="1"/>
    <xf numFmtId="0" fontId="20" fillId="3" borderId="3" xfId="0" applyFont="1" applyFill="1" applyBorder="1"/>
    <xf numFmtId="10" fontId="23" fillId="0" borderId="0" xfId="0" applyNumberFormat="1" applyFont="1"/>
    <xf numFmtId="10" fontId="24" fillId="0" borderId="0" xfId="0" applyNumberFormat="1" applyFont="1" applyFill="1"/>
    <xf numFmtId="10" fontId="25" fillId="0" borderId="0" xfId="0" applyNumberFormat="1" applyFont="1"/>
    <xf numFmtId="3" fontId="0" fillId="0" borderId="0" xfId="0" applyNumberFormat="1"/>
    <xf numFmtId="0" fontId="19" fillId="7" borderId="3" xfId="0" applyFont="1" applyFill="1" applyBorder="1" applyAlignment="1">
      <alignment horizontal="center"/>
    </xf>
    <xf numFmtId="0" fontId="22" fillId="7" borderId="3" xfId="0" applyFont="1" applyFill="1" applyBorder="1" applyAlignment="1">
      <alignment horizontal="center"/>
    </xf>
    <xf numFmtId="0" fontId="22" fillId="7" borderId="0" xfId="0" applyFont="1" applyFill="1" applyBorder="1" applyAlignment="1">
      <alignment horizontal="center"/>
    </xf>
    <xf numFmtId="0" fontId="18" fillId="7" borderId="0" xfId="0" applyFont="1" applyFill="1" applyBorder="1"/>
    <xf numFmtId="0" fontId="0" fillId="7" borderId="0" xfId="0" applyFill="1" applyBorder="1"/>
    <xf numFmtId="0" fontId="19" fillId="7" borderId="0" xfId="0" applyFont="1" applyFill="1" applyBorder="1" applyAlignment="1">
      <alignment horizontal="center"/>
    </xf>
    <xf numFmtId="0" fontId="0" fillId="7" borderId="3" xfId="0" applyFill="1" applyBorder="1"/>
    <xf numFmtId="0" fontId="22" fillId="3" borderId="3" xfId="0" applyFont="1" applyFill="1" applyBorder="1" applyAlignment="1">
      <alignment horizontal="center"/>
    </xf>
    <xf numFmtId="0" fontId="19" fillId="3" borderId="3" xfId="0" applyFont="1" applyFill="1" applyBorder="1" applyAlignment="1">
      <alignment horizontal="center"/>
    </xf>
    <xf numFmtId="0" fontId="0" fillId="3" borderId="3" xfId="0" applyFill="1" applyBorder="1"/>
    <xf numFmtId="0" fontId="0" fillId="0" borderId="0" xfId="0" applyFill="1"/>
    <xf numFmtId="0" fontId="8" fillId="0" borderId="0" xfId="0" applyFont="1" applyFill="1"/>
    <xf numFmtId="10" fontId="7" fillId="0" borderId="0" xfId="0" applyNumberFormat="1" applyFont="1" applyFill="1" applyBorder="1"/>
    <xf numFmtId="10" fontId="9" fillId="0" borderId="0" xfId="0" applyNumberFormat="1" applyFont="1" applyFill="1" applyBorder="1"/>
    <xf numFmtId="0" fontId="2" fillId="0" borderId="0" xfId="0" applyFont="1" applyFill="1"/>
    <xf numFmtId="10" fontId="12" fillId="0" borderId="0" xfId="0" applyNumberFormat="1" applyFont="1" applyFill="1"/>
    <xf numFmtId="10" fontId="11" fillId="0" borderId="0" xfId="0" applyNumberFormat="1" applyFont="1" applyFill="1"/>
    <xf numFmtId="10" fontId="0" fillId="0" borderId="0" xfId="0" applyNumberFormat="1" applyFill="1"/>
    <xf numFmtId="10" fontId="13" fillId="0" borderId="0" xfId="0" applyNumberFormat="1" applyFont="1" applyFill="1"/>
    <xf numFmtId="10" fontId="14" fillId="0" borderId="0" xfId="0" applyNumberFormat="1" applyFont="1" applyFill="1"/>
    <xf numFmtId="10" fontId="8" fillId="0" borderId="0" xfId="0" applyNumberFormat="1" applyFont="1" applyFill="1"/>
    <xf numFmtId="0" fontId="14" fillId="0" borderId="0" xfId="0" applyFont="1" applyFill="1"/>
    <xf numFmtId="10" fontId="25" fillId="0" borderId="0" xfId="0" applyNumberFormat="1" applyFont="1" applyFill="1" applyBorder="1"/>
    <xf numFmtId="10" fontId="0" fillId="2" borderId="0" xfId="0" applyNumberFormat="1" applyFill="1"/>
  </cellXfs>
  <cellStyles count="1">
    <cellStyle name="Normal" xfId="0" builtinId="0"/>
  </cellStyles>
  <dxfs count="38"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3F9FB"/>
      <color rgb="FFEBF6F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7"/>
          </c:marker>
          <c:xVal>
            <c:numRef>
              <c:f>'tables &amp; graphs'!$B$220:$B$239</c:f>
              <c:numCache>
                <c:formatCode>General</c:formatCode>
                <c:ptCount val="20"/>
                <c:pt idx="0">
                  <c:v>1</c:v>
                </c:pt>
                <c:pt idx="1">
                  <c:v>1.002</c:v>
                </c:pt>
                <c:pt idx="2">
                  <c:v>1</c:v>
                </c:pt>
                <c:pt idx="3">
                  <c:v>1.002</c:v>
                </c:pt>
                <c:pt idx="4">
                  <c:v>0.998</c:v>
                </c:pt>
                <c:pt idx="5">
                  <c:v>1.002</c:v>
                </c:pt>
                <c:pt idx="6">
                  <c:v>1.002</c:v>
                </c:pt>
                <c:pt idx="7">
                  <c:v>1</c:v>
                </c:pt>
                <c:pt idx="8">
                  <c:v>1.002</c:v>
                </c:pt>
                <c:pt idx="9">
                  <c:v>1</c:v>
                </c:pt>
                <c:pt idx="10">
                  <c:v>1.002</c:v>
                </c:pt>
                <c:pt idx="11">
                  <c:v>1</c:v>
                </c:pt>
                <c:pt idx="12">
                  <c:v>0.998</c:v>
                </c:pt>
                <c:pt idx="13">
                  <c:v>0.998</c:v>
                </c:pt>
                <c:pt idx="14">
                  <c:v>1.002</c:v>
                </c:pt>
                <c:pt idx="15">
                  <c:v>0.998</c:v>
                </c:pt>
                <c:pt idx="16">
                  <c:v>1.002</c:v>
                </c:pt>
                <c:pt idx="17">
                  <c:v>1</c:v>
                </c:pt>
                <c:pt idx="18">
                  <c:v>0.998</c:v>
                </c:pt>
                <c:pt idx="19">
                  <c:v>1.002</c:v>
                </c:pt>
              </c:numCache>
            </c:numRef>
          </c:xVal>
          <c:yVal>
            <c:numRef>
              <c:f>'tables &amp; graphs'!$C$220:$C$239</c:f>
              <c:numCache>
                <c:formatCode>0.00%</c:formatCode>
                <c:ptCount val="20"/>
                <c:pt idx="0">
                  <c:v>-4.6794475365903976E-2</c:v>
                </c:pt>
                <c:pt idx="1">
                  <c:v>2.0202020202020166E-2</c:v>
                </c:pt>
                <c:pt idx="2">
                  <c:v>-7.0707070707070718E-2</c:v>
                </c:pt>
                <c:pt idx="3">
                  <c:v>-3.5868893011750114E-2</c:v>
                </c:pt>
                <c:pt idx="4">
                  <c:v>-0.10101010101010105</c:v>
                </c:pt>
                <c:pt idx="5">
                  <c:v>-7.0707070707070718E-2</c:v>
                </c:pt>
                <c:pt idx="6">
                  <c:v>5.998763141620285E-2</c:v>
                </c:pt>
                <c:pt idx="7">
                  <c:v>-8.5446299732014008E-2</c:v>
                </c:pt>
                <c:pt idx="8">
                  <c:v>7.0707070707070718E-2</c:v>
                </c:pt>
                <c:pt idx="9">
                  <c:v>1.0101010101010055E-2</c:v>
                </c:pt>
                <c:pt idx="10">
                  <c:v>-0.13131313131313133</c:v>
                </c:pt>
                <c:pt idx="11">
                  <c:v>5.0505050505050553E-2</c:v>
                </c:pt>
                <c:pt idx="12">
                  <c:v>-1.0204081632653073E-2</c:v>
                </c:pt>
                <c:pt idx="13">
                  <c:v>-1.9583591012162449E-2</c:v>
                </c:pt>
                <c:pt idx="14">
                  <c:v>4.0404040404040387E-2</c:v>
                </c:pt>
                <c:pt idx="15">
                  <c:v>0.12121212121212122</c:v>
                </c:pt>
                <c:pt idx="16">
                  <c:v>-1.4533085961657366E-2</c:v>
                </c:pt>
                <c:pt idx="17">
                  <c:v>-8.0808080808080884E-2</c:v>
                </c:pt>
                <c:pt idx="18">
                  <c:v>-3.700267985982264E-2</c:v>
                </c:pt>
                <c:pt idx="19">
                  <c:v>-2.9993815708101335E-2</c:v>
                </c:pt>
              </c:numCache>
            </c:numRef>
          </c:yVal>
          <c:smooth val="0"/>
        </c:ser>
        <c:ser>
          <c:idx val="1"/>
          <c:order val="1"/>
          <c:tx>
            <c:v>series 2</c:v>
          </c:tx>
          <c:spPr>
            <a:ln w="28575">
              <a:noFill/>
            </a:ln>
          </c:spPr>
          <c:marker>
            <c:symbol val="circle"/>
            <c:size val="7"/>
          </c:marker>
          <c:xVal>
            <c:numRef>
              <c:f>'tables &amp; graphs'!$B$240:$B$259</c:f>
              <c:numCache>
                <c:formatCode>#,##0</c:formatCode>
                <c:ptCount val="20"/>
                <c:pt idx="0">
                  <c:v>1.028</c:v>
                </c:pt>
                <c:pt idx="1">
                  <c:v>1.032</c:v>
                </c:pt>
                <c:pt idx="2">
                  <c:v>1.028</c:v>
                </c:pt>
                <c:pt idx="3">
                  <c:v>1.028</c:v>
                </c:pt>
                <c:pt idx="4">
                  <c:v>1.032</c:v>
                </c:pt>
                <c:pt idx="5">
                  <c:v>1.032</c:v>
                </c:pt>
                <c:pt idx="6">
                  <c:v>1.03</c:v>
                </c:pt>
                <c:pt idx="7">
                  <c:v>1.03</c:v>
                </c:pt>
                <c:pt idx="8">
                  <c:v>1.03</c:v>
                </c:pt>
                <c:pt idx="9">
                  <c:v>1.028</c:v>
                </c:pt>
                <c:pt idx="10">
                  <c:v>1.03</c:v>
                </c:pt>
                <c:pt idx="11">
                  <c:v>1.03</c:v>
                </c:pt>
                <c:pt idx="12">
                  <c:v>1.032</c:v>
                </c:pt>
                <c:pt idx="13">
                  <c:v>1.028</c:v>
                </c:pt>
                <c:pt idx="14">
                  <c:v>1.032</c:v>
                </c:pt>
                <c:pt idx="15">
                  <c:v>1.028</c:v>
                </c:pt>
                <c:pt idx="16">
                  <c:v>1.03</c:v>
                </c:pt>
                <c:pt idx="17">
                  <c:v>1.028</c:v>
                </c:pt>
                <c:pt idx="18">
                  <c:v>1.03</c:v>
                </c:pt>
                <c:pt idx="19">
                  <c:v>1.028</c:v>
                </c:pt>
              </c:numCache>
            </c:numRef>
          </c:xVal>
          <c:yVal>
            <c:numRef>
              <c:f>'tables &amp; graphs'!$C$240:$C$259</c:f>
              <c:numCache>
                <c:formatCode>0.00%</c:formatCode>
                <c:ptCount val="20"/>
                <c:pt idx="0">
                  <c:v>3.8934020210025788E-2</c:v>
                </c:pt>
                <c:pt idx="1">
                  <c:v>4.3986526649494762E-2</c:v>
                </c:pt>
                <c:pt idx="2">
                  <c:v>6.0134733505052496E-2</c:v>
                </c:pt>
                <c:pt idx="3">
                  <c:v>-0.10164454131167028</c:v>
                </c:pt>
                <c:pt idx="4">
                  <c:v>-0.10689518525856945</c:v>
                </c:pt>
                <c:pt idx="5">
                  <c:v>4.5571626708935664E-3</c:v>
                </c:pt>
                <c:pt idx="6">
                  <c:v>1.0105012878938002E-2</c:v>
                </c:pt>
                <c:pt idx="7">
                  <c:v>-6.7763027541113519E-2</c:v>
                </c:pt>
                <c:pt idx="8">
                  <c:v>1.7337031900138689E-2</c:v>
                </c:pt>
                <c:pt idx="9">
                  <c:v>1.0897562908659397E-3</c:v>
                </c:pt>
                <c:pt idx="10">
                  <c:v>6.0630077273627903E-2</c:v>
                </c:pt>
                <c:pt idx="11">
                  <c:v>8.1533584307509399E-2</c:v>
                </c:pt>
                <c:pt idx="12">
                  <c:v>-5.4487814543293656E-3</c:v>
                </c:pt>
                <c:pt idx="13">
                  <c:v>-7.9255002972061783E-3</c:v>
                </c:pt>
                <c:pt idx="14">
                  <c:v>6.2116108579354068E-2</c:v>
                </c:pt>
                <c:pt idx="15">
                  <c:v>3.0711313651674343E-2</c:v>
                </c:pt>
                <c:pt idx="16">
                  <c:v>2.9027144838517926E-2</c:v>
                </c:pt>
                <c:pt idx="17">
                  <c:v>-2.3578363384188616E-2</c:v>
                </c:pt>
                <c:pt idx="18">
                  <c:v>-3.972657023974635E-2</c:v>
                </c:pt>
                <c:pt idx="19">
                  <c:v>0.16534574995046558</c:v>
                </c:pt>
              </c:numCache>
            </c:numRef>
          </c:yVal>
          <c:smooth val="0"/>
        </c:ser>
        <c:ser>
          <c:idx val="2"/>
          <c:order val="2"/>
          <c:tx>
            <c:v>series 3</c:v>
          </c:tx>
          <c:spPr>
            <a:ln w="28575">
              <a:noFill/>
            </a:ln>
          </c:spPr>
          <c:marker>
            <c:symbol val="circle"/>
            <c:size val="7"/>
          </c:marker>
          <c:xVal>
            <c:numRef>
              <c:f>'tables &amp; graphs'!$B$260:$B$261</c:f>
              <c:numCache>
                <c:formatCode>General</c:formatCode>
                <c:ptCount val="2"/>
                <c:pt idx="0">
                  <c:v>0.98</c:v>
                </c:pt>
                <c:pt idx="1">
                  <c:v>0.98</c:v>
                </c:pt>
              </c:numCache>
            </c:numRef>
          </c:xVal>
          <c:yVal>
            <c:numRef>
              <c:f>'tables &amp; graphs'!$C$260:$C$261</c:f>
              <c:numCache>
                <c:formatCode>0.00%</c:formatCode>
                <c:ptCount val="2"/>
                <c:pt idx="0">
                  <c:v>-1.5097286392919906E-2</c:v>
                </c:pt>
                <c:pt idx="1">
                  <c:v>0.17433110367892979</c:v>
                </c:pt>
              </c:numCache>
            </c:numRef>
          </c:yVal>
          <c:smooth val="0"/>
        </c:ser>
        <c:ser>
          <c:idx val="3"/>
          <c:order val="3"/>
          <c:tx>
            <c:v>tversky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bg1">
                    <a:lumMod val="75000"/>
                  </a:schemeClr>
                </a:solidFill>
              </a:ln>
            </c:spPr>
          </c:marker>
          <c:xVal>
            <c:numRef>
              <c:f>'tables &amp; graphs'!$B$262:$B$303</c:f>
              <c:numCache>
                <c:formatCode>#,##0</c:formatCode>
                <c:ptCount val="42"/>
                <c:pt idx="0">
                  <c:v>0.94599999999999995</c:v>
                </c:pt>
                <c:pt idx="1">
                  <c:v>0.95</c:v>
                </c:pt>
                <c:pt idx="2">
                  <c:v>0.94799999999999995</c:v>
                </c:pt>
                <c:pt idx="3">
                  <c:v>0.95399999999999996</c:v>
                </c:pt>
                <c:pt idx="4">
                  <c:v>0.94799999999999995</c:v>
                </c:pt>
                <c:pt idx="5">
                  <c:v>0.95</c:v>
                </c:pt>
                <c:pt idx="6">
                  <c:v>0.94599999999999995</c:v>
                </c:pt>
                <c:pt idx="7">
                  <c:v>0.95</c:v>
                </c:pt>
                <c:pt idx="8">
                  <c:v>0.95399999999999996</c:v>
                </c:pt>
                <c:pt idx="9">
                  <c:v>0.95</c:v>
                </c:pt>
                <c:pt idx="10">
                  <c:v>0.94599999999999995</c:v>
                </c:pt>
                <c:pt idx="11">
                  <c:v>0.95199999999999996</c:v>
                </c:pt>
                <c:pt idx="12">
                  <c:v>0.94799999999999995</c:v>
                </c:pt>
                <c:pt idx="13">
                  <c:v>0.95399999999999996</c:v>
                </c:pt>
                <c:pt idx="14">
                  <c:v>0.94599999999999995</c:v>
                </c:pt>
                <c:pt idx="15">
                  <c:v>0.94799999999999995</c:v>
                </c:pt>
                <c:pt idx="16">
                  <c:v>0.94799999999999995</c:v>
                </c:pt>
                <c:pt idx="17">
                  <c:v>0.95199999999999996</c:v>
                </c:pt>
                <c:pt idx="18">
                  <c:v>0.95399999999999996</c:v>
                </c:pt>
                <c:pt idx="19">
                  <c:v>0.95199999999999996</c:v>
                </c:pt>
                <c:pt idx="20">
                  <c:v>0.95399999999999996</c:v>
                </c:pt>
                <c:pt idx="21">
                  <c:v>0.95399999999999996</c:v>
                </c:pt>
                <c:pt idx="22">
                  <c:v>0.94799999999999995</c:v>
                </c:pt>
                <c:pt idx="23">
                  <c:v>0.95199999999999996</c:v>
                </c:pt>
                <c:pt idx="24">
                  <c:v>0.95399999999999996</c:v>
                </c:pt>
                <c:pt idx="25">
                  <c:v>0.95199999999999996</c:v>
                </c:pt>
                <c:pt idx="26">
                  <c:v>0.95</c:v>
                </c:pt>
                <c:pt idx="27">
                  <c:v>0.95399999999999996</c:v>
                </c:pt>
                <c:pt idx="28">
                  <c:v>0.94799999999999995</c:v>
                </c:pt>
                <c:pt idx="29">
                  <c:v>0.95199999999999996</c:v>
                </c:pt>
                <c:pt idx="30">
                  <c:v>0.94799999999999995</c:v>
                </c:pt>
                <c:pt idx="31">
                  <c:v>0.95399999999999996</c:v>
                </c:pt>
                <c:pt idx="32">
                  <c:v>0.95</c:v>
                </c:pt>
                <c:pt idx="33">
                  <c:v>0.95399999999999996</c:v>
                </c:pt>
                <c:pt idx="34">
                  <c:v>0.94799999999999995</c:v>
                </c:pt>
                <c:pt idx="35">
                  <c:v>0.95399999999999996</c:v>
                </c:pt>
                <c:pt idx="36">
                  <c:v>0.94799999999999995</c:v>
                </c:pt>
                <c:pt idx="37">
                  <c:v>0.95199999999999996</c:v>
                </c:pt>
                <c:pt idx="38">
                  <c:v>0.94799999999999995</c:v>
                </c:pt>
                <c:pt idx="39">
                  <c:v>0.95399999999999996</c:v>
                </c:pt>
                <c:pt idx="40">
                  <c:v>0.95399999999999996</c:v>
                </c:pt>
                <c:pt idx="41">
                  <c:v>0.95199999999999996</c:v>
                </c:pt>
              </c:numCache>
            </c:numRef>
          </c:xVal>
          <c:yVal>
            <c:numRef>
              <c:f>'tables &amp; graphs'!$C$262:$C$303</c:f>
              <c:numCache>
                <c:formatCode>0.00%</c:formatCode>
                <c:ptCount val="42"/>
                <c:pt idx="0">
                  <c:v>0.32</c:v>
                </c:pt>
                <c:pt idx="1">
                  <c:v>0.38</c:v>
                </c:pt>
                <c:pt idx="2">
                  <c:v>6.0999999999999999E-2</c:v>
                </c:pt>
                <c:pt idx="3">
                  <c:v>0.10400000000000001</c:v>
                </c:pt>
                <c:pt idx="4">
                  <c:v>0.13699999999999998</c:v>
                </c:pt>
                <c:pt idx="5">
                  <c:v>0.11199999999999999</c:v>
                </c:pt>
                <c:pt idx="6">
                  <c:v>9.0999999999999998E-2</c:v>
                </c:pt>
                <c:pt idx="7">
                  <c:v>6.5000000000000002E-2</c:v>
                </c:pt>
                <c:pt idx="8">
                  <c:v>0.13300000000000001</c:v>
                </c:pt>
                <c:pt idx="9">
                  <c:v>0.03</c:v>
                </c:pt>
                <c:pt idx="10">
                  <c:v>-6.0999999999999999E-2</c:v>
                </c:pt>
                <c:pt idx="11">
                  <c:v>0.24399999999999999</c:v>
                </c:pt>
                <c:pt idx="12">
                  <c:v>0.23</c:v>
                </c:pt>
                <c:pt idx="13">
                  <c:v>0.36399999999999999</c:v>
                </c:pt>
                <c:pt idx="14">
                  <c:v>0.3</c:v>
                </c:pt>
                <c:pt idx="15">
                  <c:v>9.0999999999999998E-2</c:v>
                </c:pt>
                <c:pt idx="16">
                  <c:v>0.03</c:v>
                </c:pt>
                <c:pt idx="17">
                  <c:v>0.30299999999999999</c:v>
                </c:pt>
                <c:pt idx="18">
                  <c:v>-0.121</c:v>
                </c:pt>
                <c:pt idx="19">
                  <c:v>-9.0999999999999998E-2</c:v>
                </c:pt>
                <c:pt idx="20">
                  <c:v>0.30299999999999999</c:v>
                </c:pt>
                <c:pt idx="21">
                  <c:v>0.03</c:v>
                </c:pt>
                <c:pt idx="22">
                  <c:v>0.24199999999999999</c:v>
                </c:pt>
                <c:pt idx="23">
                  <c:v>-7.4999999999999997E-2</c:v>
                </c:pt>
                <c:pt idx="24">
                  <c:v>0.192</c:v>
                </c:pt>
                <c:pt idx="25">
                  <c:v>0.30199999999999999</c:v>
                </c:pt>
                <c:pt idx="26">
                  <c:v>-6.0999999999999999E-2</c:v>
                </c:pt>
                <c:pt idx="27">
                  <c:v>6.9000000000000006E-2</c:v>
                </c:pt>
                <c:pt idx="28">
                  <c:v>0.08</c:v>
                </c:pt>
                <c:pt idx="29">
                  <c:v>0.152</c:v>
                </c:pt>
                <c:pt idx="30">
                  <c:v>0</c:v>
                </c:pt>
                <c:pt idx="31">
                  <c:v>6.0999999999999999E-2</c:v>
                </c:pt>
                <c:pt idx="32">
                  <c:v>-0.01</c:v>
                </c:pt>
                <c:pt idx="33">
                  <c:v>0.152</c:v>
                </c:pt>
                <c:pt idx="34">
                  <c:v>0.315</c:v>
                </c:pt>
                <c:pt idx="35">
                  <c:v>9.0999999999999998E-2</c:v>
                </c:pt>
                <c:pt idx="36">
                  <c:v>0.24199999999999999</c:v>
                </c:pt>
                <c:pt idx="37">
                  <c:v>-0.03</c:v>
                </c:pt>
                <c:pt idx="38">
                  <c:v>0.30299999999999999</c:v>
                </c:pt>
                <c:pt idx="39">
                  <c:v>0</c:v>
                </c:pt>
                <c:pt idx="40">
                  <c:v>6.0999999999999999E-2</c:v>
                </c:pt>
                <c:pt idx="41">
                  <c:v>0.24199999999999999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44896"/>
        <c:axId val="47774720"/>
      </c:scatterChart>
      <c:valAx>
        <c:axId val="47744896"/>
        <c:scaling>
          <c:orientation val="minMax"/>
          <c:max val="1.1000000000000001"/>
          <c:min val="0.9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25400"/>
        </c:spPr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en-US"/>
          </a:p>
        </c:txPr>
        <c:crossAx val="47774720"/>
        <c:crosses val="autoZero"/>
        <c:crossBetween val="midCat"/>
        <c:majorUnit val="2"/>
        <c:minorUnit val="2"/>
      </c:valAx>
      <c:valAx>
        <c:axId val="47774720"/>
        <c:scaling>
          <c:orientation val="minMax"/>
          <c:max val="0.5"/>
          <c:min val="-0.5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47744896"/>
        <c:crosses val="autoZero"/>
        <c:crossBetween val="midCat"/>
        <c:majorUnit val="0.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42332</xdr:colOff>
      <xdr:row>219</xdr:row>
      <xdr:rowOff>63498</xdr:rowOff>
    </xdr:from>
    <xdr:to>
      <xdr:col>10</xdr:col>
      <xdr:colOff>126999</xdr:colOff>
      <xdr:row>245</xdr:row>
      <xdr:rowOff>52915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54"/>
  <sheetViews>
    <sheetView tabSelected="1" topLeftCell="W167" zoomScale="70" zoomScaleNormal="70" workbookViewId="0">
      <selection activeCell="AR173" sqref="AR173:AR192"/>
    </sheetView>
  </sheetViews>
  <sheetFormatPr defaultRowHeight="15" x14ac:dyDescent="0.25"/>
  <cols>
    <col min="1" max="1" width="9.140625" style="1"/>
    <col min="28" max="29" width="10.28515625" customWidth="1"/>
    <col min="44" max="44" width="13.140625" customWidth="1"/>
    <col min="45" max="45" width="13" customWidth="1"/>
  </cols>
  <sheetData>
    <row r="1" spans="1:70" s="1" customFormat="1" x14ac:dyDescent="0.25"/>
    <row r="2" spans="1:70" s="1" customFormat="1" x14ac:dyDescent="0.25"/>
    <row r="3" spans="1:70" s="1" customFormat="1" x14ac:dyDescent="0.25"/>
    <row r="4" spans="1:70" s="1" customFormat="1" x14ac:dyDescent="0.25">
      <c r="B4" s="1" t="s">
        <v>98</v>
      </c>
    </row>
    <row r="5" spans="1:70" s="1" customFormat="1" x14ac:dyDescent="0.25">
      <c r="B5" s="1" t="s">
        <v>99</v>
      </c>
    </row>
    <row r="6" spans="1:70" s="1" customFormat="1" x14ac:dyDescent="0.25">
      <c r="B6" s="1" t="s">
        <v>100</v>
      </c>
    </row>
    <row r="7" spans="1:70" s="1" customFormat="1" x14ac:dyDescent="0.25">
      <c r="B7" s="1" t="s">
        <v>128</v>
      </c>
    </row>
    <row r="8" spans="1:70" s="1" customFormat="1" x14ac:dyDescent="0.25"/>
    <row r="9" spans="1:70" s="1" customFormat="1" x14ac:dyDescent="0.25"/>
    <row r="10" spans="1:70" s="31" customFormat="1" ht="18.75" x14ac:dyDescent="0.3">
      <c r="A10" s="1"/>
      <c r="C10" s="32" t="s">
        <v>86</v>
      </c>
      <c r="D10" s="32"/>
      <c r="E10" s="32"/>
      <c r="F10" s="32"/>
      <c r="G10" s="32"/>
      <c r="H10" s="32"/>
      <c r="I10" s="32"/>
      <c r="J10" s="32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 s="31" customFormat="1" ht="18.75" x14ac:dyDescent="0.3">
      <c r="A11" s="1"/>
      <c r="C11" s="32" t="s">
        <v>146</v>
      </c>
      <c r="D11" s="32"/>
      <c r="E11" s="32"/>
      <c r="F11" s="32"/>
      <c r="G11" s="32"/>
      <c r="H11" s="32"/>
      <c r="I11" s="32"/>
      <c r="J11" s="32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 s="31" customFormat="1" ht="19.5" thickBot="1" x14ac:dyDescent="0.35">
      <c r="A12" s="1"/>
      <c r="D12" s="32"/>
      <c r="E12" s="32"/>
      <c r="F12" s="32"/>
      <c r="G12" s="32"/>
      <c r="H12" s="32"/>
      <c r="I12" s="32"/>
      <c r="J12" s="32"/>
      <c r="K12" s="32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 ht="15.75" thickTop="1" x14ac:dyDescent="0.25"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46"/>
      <c r="M13" s="35"/>
      <c r="N13" s="44"/>
      <c r="O13" s="45"/>
      <c r="P13" s="45"/>
      <c r="Q13" s="45"/>
      <c r="R13" s="45"/>
      <c r="S13" s="45"/>
      <c r="T13" s="45"/>
      <c r="U13" s="45"/>
      <c r="V13" s="45"/>
      <c r="W13" s="45"/>
      <c r="X13" s="46"/>
      <c r="Y13" s="35"/>
      <c r="Z13" s="44"/>
      <c r="AA13" s="45"/>
      <c r="AB13" s="45"/>
      <c r="AC13" s="45"/>
      <c r="AD13" s="45"/>
      <c r="AE13" s="45"/>
      <c r="AF13" s="46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 ht="18.75" x14ac:dyDescent="0.3">
      <c r="B14" s="47"/>
      <c r="C14" s="41" t="s">
        <v>93</v>
      </c>
      <c r="D14" s="41"/>
      <c r="E14" s="41"/>
      <c r="F14" s="41"/>
      <c r="G14" s="42"/>
      <c r="H14" s="42"/>
      <c r="I14" s="35"/>
      <c r="J14" s="35"/>
      <c r="K14" s="35"/>
      <c r="L14" s="48"/>
      <c r="M14" s="35"/>
      <c r="N14" s="47"/>
      <c r="O14" s="41" t="s">
        <v>94</v>
      </c>
      <c r="P14" s="41"/>
      <c r="Q14" s="41"/>
      <c r="R14" s="40"/>
      <c r="S14" s="35"/>
      <c r="T14" s="35"/>
      <c r="U14" s="35"/>
      <c r="V14" s="35"/>
      <c r="W14" s="35"/>
      <c r="X14" s="48"/>
      <c r="Y14" s="35"/>
      <c r="Z14" s="47"/>
      <c r="AA14" s="41" t="s">
        <v>95</v>
      </c>
      <c r="AB14" s="42"/>
      <c r="AC14" s="42"/>
      <c r="AD14" s="42"/>
      <c r="AE14" s="42"/>
      <c r="AF14" s="48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70" x14ac:dyDescent="0.25">
      <c r="B15" s="47"/>
      <c r="C15" s="35"/>
      <c r="D15" s="35"/>
      <c r="E15" s="35"/>
      <c r="F15" s="35"/>
      <c r="G15" s="35"/>
      <c r="H15" s="35"/>
      <c r="I15" s="35"/>
      <c r="J15" s="35"/>
      <c r="K15" s="35"/>
      <c r="L15" s="48"/>
      <c r="M15" s="35"/>
      <c r="N15" s="47"/>
      <c r="O15" s="35"/>
      <c r="P15" s="35"/>
      <c r="Q15" s="35"/>
      <c r="R15" s="35"/>
      <c r="S15" s="35"/>
      <c r="T15" s="35"/>
      <c r="U15" s="35"/>
      <c r="V15" s="35"/>
      <c r="W15" s="35"/>
      <c r="X15" s="48"/>
      <c r="Y15" s="35"/>
      <c r="Z15" s="47"/>
      <c r="AA15" s="35"/>
      <c r="AB15" s="35"/>
      <c r="AC15" s="35"/>
      <c r="AD15" s="35"/>
      <c r="AE15" s="35"/>
      <c r="AF15" s="48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70" ht="15.75" thickBot="1" x14ac:dyDescent="0.3">
      <c r="B16" s="47"/>
      <c r="C16" s="43"/>
      <c r="D16" s="43" t="s">
        <v>91</v>
      </c>
      <c r="E16" s="43" t="s">
        <v>89</v>
      </c>
      <c r="F16" s="43"/>
      <c r="G16" s="35"/>
      <c r="H16" s="43"/>
      <c r="I16" s="43" t="s">
        <v>92</v>
      </c>
      <c r="J16" s="43" t="s">
        <v>90</v>
      </c>
      <c r="K16" s="43"/>
      <c r="L16" s="48"/>
      <c r="M16" s="35"/>
      <c r="N16" s="47"/>
      <c r="O16" s="43"/>
      <c r="P16" s="43" t="s">
        <v>91</v>
      </c>
      <c r="Q16" s="43" t="s">
        <v>89</v>
      </c>
      <c r="R16" s="43"/>
      <c r="S16" s="35"/>
      <c r="T16" s="43"/>
      <c r="U16" s="43" t="s">
        <v>92</v>
      </c>
      <c r="V16" s="43" t="s">
        <v>90</v>
      </c>
      <c r="W16" s="43"/>
      <c r="X16" s="48"/>
      <c r="Y16" s="35"/>
      <c r="Z16" s="47"/>
      <c r="AA16" s="35"/>
      <c r="AB16" s="35"/>
      <c r="AC16" s="35"/>
      <c r="AD16" s="35"/>
      <c r="AE16" s="35"/>
      <c r="AF16" s="48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2:55" ht="16.5" thickTop="1" x14ac:dyDescent="0.25">
      <c r="B17" s="47"/>
      <c r="C17" s="38" t="s">
        <v>0</v>
      </c>
      <c r="D17" s="59" t="s">
        <v>87</v>
      </c>
      <c r="E17" s="59" t="s">
        <v>88</v>
      </c>
      <c r="F17" s="59" t="s">
        <v>5</v>
      </c>
      <c r="G17" s="35"/>
      <c r="H17" s="38" t="s">
        <v>0</v>
      </c>
      <c r="I17" s="59" t="s">
        <v>87</v>
      </c>
      <c r="J17" s="59" t="s">
        <v>88</v>
      </c>
      <c r="K17" s="59" t="s">
        <v>4</v>
      </c>
      <c r="L17" s="48"/>
      <c r="M17" s="35"/>
      <c r="N17" s="47"/>
      <c r="O17" s="38" t="s">
        <v>0</v>
      </c>
      <c r="P17" s="59" t="s">
        <v>87</v>
      </c>
      <c r="Q17" s="59" t="s">
        <v>88</v>
      </c>
      <c r="R17" s="59" t="s">
        <v>5</v>
      </c>
      <c r="S17" s="36"/>
      <c r="T17" s="38" t="s">
        <v>0</v>
      </c>
      <c r="U17" s="59" t="s">
        <v>87</v>
      </c>
      <c r="V17" s="59" t="s">
        <v>88</v>
      </c>
      <c r="W17" s="59" t="s">
        <v>4</v>
      </c>
      <c r="X17" s="48"/>
      <c r="Y17" s="35"/>
      <c r="Z17" s="47"/>
      <c r="AA17" s="52" t="s">
        <v>0</v>
      </c>
      <c r="AB17" s="66" t="s">
        <v>96</v>
      </c>
      <c r="AC17" s="66" t="s">
        <v>97</v>
      </c>
      <c r="AD17" s="35"/>
      <c r="AE17" s="35"/>
      <c r="AF17" s="48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2:55" x14ac:dyDescent="0.25">
      <c r="B18" s="47"/>
      <c r="C18" s="37">
        <v>1</v>
      </c>
      <c r="D18" s="35">
        <v>12</v>
      </c>
      <c r="E18" s="35">
        <v>53</v>
      </c>
      <c r="F18" s="35">
        <v>1</v>
      </c>
      <c r="G18" s="35"/>
      <c r="H18" s="37">
        <v>1</v>
      </c>
      <c r="I18" s="35">
        <v>58</v>
      </c>
      <c r="J18" s="35">
        <v>7</v>
      </c>
      <c r="K18" s="35">
        <v>0</v>
      </c>
      <c r="L18" s="48"/>
      <c r="M18" s="35"/>
      <c r="N18" s="47"/>
      <c r="O18" s="37">
        <v>1</v>
      </c>
      <c r="P18" s="49">
        <f t="shared" ref="P18:P37" si="0">D18/(D18+E18+F18)</f>
        <v>0.18181818181818182</v>
      </c>
      <c r="Q18" s="49">
        <f t="shared" ref="Q18:Q37" si="1">E18/(D18+E18+F18)</f>
        <v>0.80303030303030298</v>
      </c>
      <c r="R18" s="49">
        <f t="shared" ref="R18:R37" si="2">F18/(D18+E18+F18)</f>
        <v>1.5151515151515152E-2</v>
      </c>
      <c r="S18" s="35"/>
      <c r="T18" s="37">
        <v>1</v>
      </c>
      <c r="U18" s="49">
        <f t="shared" ref="U18:U37" si="3">I18/(I18+J18+K18)</f>
        <v>0.89230769230769236</v>
      </c>
      <c r="V18" s="49">
        <f t="shared" ref="V18:V37" si="4">J18/(J18+I18+K18)</f>
        <v>0.1076923076923077</v>
      </c>
      <c r="W18" s="49">
        <f t="shared" ref="W18:W37" si="5">K18/(I18+J18+K18)</f>
        <v>0</v>
      </c>
      <c r="X18" s="48"/>
      <c r="Y18" s="35"/>
      <c r="Z18" s="47"/>
      <c r="AA18" s="37">
        <v>1</v>
      </c>
      <c r="AB18" s="54">
        <f t="shared" ref="AB18:AB37" si="6">U18-P18</f>
        <v>0.71048951048951059</v>
      </c>
      <c r="AC18" s="54">
        <f t="shared" ref="AC18:AC37" si="7">Q18-V18</f>
        <v>0.69533799533799523</v>
      </c>
      <c r="AD18" s="35"/>
      <c r="AE18" s="35"/>
      <c r="AF18" s="48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2:55" x14ac:dyDescent="0.25">
      <c r="B19" s="47"/>
      <c r="C19" s="37">
        <v>2</v>
      </c>
      <c r="D19" s="35">
        <v>18</v>
      </c>
      <c r="E19" s="35">
        <v>45</v>
      </c>
      <c r="F19" s="35">
        <v>2</v>
      </c>
      <c r="G19" s="35"/>
      <c r="H19" s="37">
        <v>2</v>
      </c>
      <c r="I19" s="35">
        <v>31</v>
      </c>
      <c r="J19" s="35">
        <v>25</v>
      </c>
      <c r="K19" s="35">
        <v>9</v>
      </c>
      <c r="L19" s="48"/>
      <c r="M19" s="35"/>
      <c r="N19" s="47"/>
      <c r="O19" s="37">
        <v>2</v>
      </c>
      <c r="P19" s="49">
        <f t="shared" si="0"/>
        <v>0.27692307692307694</v>
      </c>
      <c r="Q19" s="49">
        <f t="shared" si="1"/>
        <v>0.69230769230769229</v>
      </c>
      <c r="R19" s="49">
        <f t="shared" si="2"/>
        <v>3.0769230769230771E-2</v>
      </c>
      <c r="S19" s="35"/>
      <c r="T19" s="37">
        <v>2</v>
      </c>
      <c r="U19" s="49">
        <f t="shared" si="3"/>
        <v>0.47692307692307695</v>
      </c>
      <c r="V19" s="49">
        <f t="shared" si="4"/>
        <v>0.38461538461538464</v>
      </c>
      <c r="W19" s="49">
        <f t="shared" si="5"/>
        <v>0.13846153846153847</v>
      </c>
      <c r="X19" s="48"/>
      <c r="Y19" s="35"/>
      <c r="Z19" s="47"/>
      <c r="AA19" s="37">
        <v>2</v>
      </c>
      <c r="AB19" s="54">
        <f t="shared" si="6"/>
        <v>0.2</v>
      </c>
      <c r="AC19" s="54">
        <f t="shared" si="7"/>
        <v>0.30769230769230765</v>
      </c>
      <c r="AD19" s="35"/>
      <c r="AE19" s="35"/>
      <c r="AF19" s="48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2:55" x14ac:dyDescent="0.25">
      <c r="B20" s="47"/>
      <c r="C20" s="37">
        <v>3</v>
      </c>
      <c r="D20" s="35">
        <v>12</v>
      </c>
      <c r="E20" s="35">
        <v>30</v>
      </c>
      <c r="F20" s="35">
        <v>24</v>
      </c>
      <c r="G20" s="35"/>
      <c r="H20" s="37">
        <v>3</v>
      </c>
      <c r="I20" s="35">
        <v>21</v>
      </c>
      <c r="J20" s="35">
        <v>21</v>
      </c>
      <c r="K20" s="35">
        <v>23</v>
      </c>
      <c r="L20" s="48"/>
      <c r="M20" s="35"/>
      <c r="N20" s="47"/>
      <c r="O20" s="37">
        <v>3</v>
      </c>
      <c r="P20" s="49">
        <f>D20/(D20+E20+F20)</f>
        <v>0.18181818181818182</v>
      </c>
      <c r="Q20" s="49">
        <f t="shared" si="1"/>
        <v>0.45454545454545453</v>
      </c>
      <c r="R20" s="49">
        <f t="shared" si="2"/>
        <v>0.36363636363636365</v>
      </c>
      <c r="S20" s="35"/>
      <c r="T20" s="37">
        <v>3</v>
      </c>
      <c r="U20" s="49">
        <f>I20/(I20+J20+K20)</f>
        <v>0.32307692307692309</v>
      </c>
      <c r="V20" s="49">
        <f t="shared" si="4"/>
        <v>0.32307692307692309</v>
      </c>
      <c r="W20" s="49">
        <f t="shared" si="5"/>
        <v>0.35384615384615387</v>
      </c>
      <c r="X20" s="48"/>
      <c r="Y20" s="35"/>
      <c r="Z20" s="47"/>
      <c r="AA20" s="37">
        <v>3</v>
      </c>
      <c r="AB20" s="54">
        <f>U20-P20</f>
        <v>0.14125874125874127</v>
      </c>
      <c r="AC20" s="54">
        <f t="shared" si="7"/>
        <v>0.13146853146853144</v>
      </c>
      <c r="AD20" s="35"/>
      <c r="AE20" s="35"/>
      <c r="AF20" s="48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2:55" x14ac:dyDescent="0.25">
      <c r="B21" s="47"/>
      <c r="C21" s="37">
        <v>4</v>
      </c>
      <c r="D21" s="35">
        <v>3</v>
      </c>
      <c r="E21" s="35">
        <v>59</v>
      </c>
      <c r="F21" s="35">
        <v>4</v>
      </c>
      <c r="G21" s="35"/>
      <c r="H21" s="37">
        <v>4</v>
      </c>
      <c r="I21" s="35">
        <v>38</v>
      </c>
      <c r="J21" s="35">
        <v>18</v>
      </c>
      <c r="K21" s="35">
        <v>8</v>
      </c>
      <c r="L21" s="48"/>
      <c r="M21" s="35"/>
      <c r="N21" s="47"/>
      <c r="O21" s="37">
        <v>4</v>
      </c>
      <c r="P21" s="49">
        <f t="shared" si="0"/>
        <v>4.5454545454545456E-2</v>
      </c>
      <c r="Q21" s="49">
        <f t="shared" si="1"/>
        <v>0.89393939393939392</v>
      </c>
      <c r="R21" s="49">
        <f t="shared" si="2"/>
        <v>6.0606060606060608E-2</v>
      </c>
      <c r="S21" s="35"/>
      <c r="T21" s="37">
        <v>4</v>
      </c>
      <c r="U21" s="49">
        <f t="shared" si="3"/>
        <v>0.59375</v>
      </c>
      <c r="V21" s="49">
        <f t="shared" si="4"/>
        <v>0.28125</v>
      </c>
      <c r="W21" s="49">
        <f t="shared" si="5"/>
        <v>0.125</v>
      </c>
      <c r="X21" s="48"/>
      <c r="Y21" s="35"/>
      <c r="Z21" s="47"/>
      <c r="AA21" s="37">
        <v>4</v>
      </c>
      <c r="AB21" s="54">
        <f t="shared" si="6"/>
        <v>0.54829545454545459</v>
      </c>
      <c r="AC21" s="54">
        <f t="shared" si="7"/>
        <v>0.61268939393939392</v>
      </c>
      <c r="AD21" s="35"/>
      <c r="AE21" s="35"/>
      <c r="AF21" s="48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2:55" x14ac:dyDescent="0.25">
      <c r="B22" s="47"/>
      <c r="C22" s="37">
        <v>5</v>
      </c>
      <c r="D22" s="35">
        <v>10</v>
      </c>
      <c r="E22" s="35">
        <v>25</v>
      </c>
      <c r="F22" s="35">
        <v>31</v>
      </c>
      <c r="G22" s="35"/>
      <c r="H22" s="37">
        <v>5</v>
      </c>
      <c r="I22" s="35">
        <v>17</v>
      </c>
      <c r="J22" s="35">
        <v>1</v>
      </c>
      <c r="K22" s="35">
        <v>41</v>
      </c>
      <c r="L22" s="48"/>
      <c r="M22" s="35"/>
      <c r="N22" s="47"/>
      <c r="O22" s="37">
        <v>5</v>
      </c>
      <c r="P22" s="49">
        <f t="shared" si="0"/>
        <v>0.15151515151515152</v>
      </c>
      <c r="Q22" s="49">
        <f t="shared" si="1"/>
        <v>0.37878787878787878</v>
      </c>
      <c r="R22" s="49">
        <f t="shared" si="2"/>
        <v>0.46969696969696972</v>
      </c>
      <c r="S22" s="35"/>
      <c r="T22" s="37">
        <v>5</v>
      </c>
      <c r="U22" s="49">
        <f t="shared" si="3"/>
        <v>0.28813559322033899</v>
      </c>
      <c r="V22" s="49">
        <f t="shared" si="4"/>
        <v>1.6949152542372881E-2</v>
      </c>
      <c r="W22" s="49">
        <f t="shared" si="5"/>
        <v>0.69491525423728817</v>
      </c>
      <c r="X22" s="48"/>
      <c r="Y22" s="35"/>
      <c r="Z22" s="47"/>
      <c r="AA22" s="37">
        <v>5</v>
      </c>
      <c r="AB22" s="54">
        <f t="shared" si="6"/>
        <v>0.13662044170518747</v>
      </c>
      <c r="AC22" s="54">
        <f t="shared" si="7"/>
        <v>0.36183872624550589</v>
      </c>
      <c r="AD22" s="35"/>
      <c r="AE22" s="35"/>
      <c r="AF22" s="48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2:55" x14ac:dyDescent="0.25">
      <c r="B23" s="47"/>
      <c r="C23" s="37">
        <v>6</v>
      </c>
      <c r="D23" s="35">
        <v>43</v>
      </c>
      <c r="E23" s="35">
        <v>21</v>
      </c>
      <c r="F23" s="35">
        <v>2</v>
      </c>
      <c r="G23" s="35"/>
      <c r="H23" s="37">
        <v>6</v>
      </c>
      <c r="I23" s="35">
        <v>54</v>
      </c>
      <c r="J23" s="35">
        <v>8</v>
      </c>
      <c r="K23" s="35">
        <v>3</v>
      </c>
      <c r="L23" s="48"/>
      <c r="M23" s="35"/>
      <c r="N23" s="47"/>
      <c r="O23" s="37">
        <v>6</v>
      </c>
      <c r="P23" s="49">
        <f t="shared" si="0"/>
        <v>0.65151515151515149</v>
      </c>
      <c r="Q23" s="49">
        <f t="shared" si="1"/>
        <v>0.31818181818181818</v>
      </c>
      <c r="R23" s="49">
        <f t="shared" si="2"/>
        <v>3.0303030303030304E-2</v>
      </c>
      <c r="S23" s="35"/>
      <c r="T23" s="37">
        <v>6</v>
      </c>
      <c r="U23" s="49">
        <f t="shared" si="3"/>
        <v>0.83076923076923082</v>
      </c>
      <c r="V23" s="49">
        <f t="shared" si="4"/>
        <v>0.12307692307692308</v>
      </c>
      <c r="W23" s="49">
        <f t="shared" si="5"/>
        <v>4.6153846153846156E-2</v>
      </c>
      <c r="X23" s="48"/>
      <c r="Y23" s="35"/>
      <c r="Z23" s="47"/>
      <c r="AA23" s="37">
        <v>6</v>
      </c>
      <c r="AB23" s="54">
        <f t="shared" si="6"/>
        <v>0.17925407925407932</v>
      </c>
      <c r="AC23" s="54">
        <f t="shared" si="7"/>
        <v>0.19510489510489509</v>
      </c>
      <c r="AD23" s="35"/>
      <c r="AE23" s="35"/>
      <c r="AF23" s="48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2:55" x14ac:dyDescent="0.25">
      <c r="B24" s="47"/>
      <c r="C24" s="37">
        <v>7</v>
      </c>
      <c r="D24" s="35">
        <v>0</v>
      </c>
      <c r="E24" s="35">
        <v>65</v>
      </c>
      <c r="F24" s="35">
        <v>1</v>
      </c>
      <c r="G24" s="35"/>
      <c r="H24" s="37">
        <v>7</v>
      </c>
      <c r="I24" s="35">
        <v>30</v>
      </c>
      <c r="J24" s="35">
        <v>11</v>
      </c>
      <c r="K24" s="35">
        <v>24</v>
      </c>
      <c r="L24" s="48"/>
      <c r="M24" s="35"/>
      <c r="N24" s="47"/>
      <c r="O24" s="37">
        <v>7</v>
      </c>
      <c r="P24" s="49">
        <f t="shared" si="0"/>
        <v>0</v>
      </c>
      <c r="Q24" s="49">
        <f t="shared" si="1"/>
        <v>0.98484848484848486</v>
      </c>
      <c r="R24" s="49">
        <f t="shared" si="2"/>
        <v>1.5151515151515152E-2</v>
      </c>
      <c r="S24" s="35"/>
      <c r="T24" s="37">
        <v>7</v>
      </c>
      <c r="U24" s="49">
        <f t="shared" si="3"/>
        <v>0.46153846153846156</v>
      </c>
      <c r="V24" s="49">
        <f t="shared" si="4"/>
        <v>0.16923076923076924</v>
      </c>
      <c r="W24" s="49">
        <f t="shared" si="5"/>
        <v>0.36923076923076925</v>
      </c>
      <c r="X24" s="48"/>
      <c r="Y24" s="35"/>
      <c r="Z24" s="47"/>
      <c r="AA24" s="37">
        <v>7</v>
      </c>
      <c r="AB24" s="54">
        <f t="shared" si="6"/>
        <v>0.46153846153846156</v>
      </c>
      <c r="AC24" s="54">
        <f t="shared" si="7"/>
        <v>0.81561771561771557</v>
      </c>
      <c r="AD24" s="35"/>
      <c r="AE24" s="35"/>
      <c r="AF24" s="48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2:55" x14ac:dyDescent="0.25">
      <c r="B25" s="47"/>
      <c r="C25" s="37">
        <v>8</v>
      </c>
      <c r="D25" s="35">
        <v>7</v>
      </c>
      <c r="E25" s="35">
        <v>55</v>
      </c>
      <c r="F25" s="35">
        <v>4</v>
      </c>
      <c r="G25" s="35"/>
      <c r="H25" s="37">
        <v>8</v>
      </c>
      <c r="I25" s="35">
        <v>39</v>
      </c>
      <c r="J25" s="35">
        <v>17</v>
      </c>
      <c r="K25" s="35">
        <v>9</v>
      </c>
      <c r="L25" s="48"/>
      <c r="M25" s="35"/>
      <c r="N25" s="47"/>
      <c r="O25" s="37">
        <v>8</v>
      </c>
      <c r="P25" s="49">
        <f t="shared" si="0"/>
        <v>0.10606060606060606</v>
      </c>
      <c r="Q25" s="49">
        <f t="shared" si="1"/>
        <v>0.83333333333333337</v>
      </c>
      <c r="R25" s="49">
        <f t="shared" si="2"/>
        <v>6.0606060606060608E-2</v>
      </c>
      <c r="S25" s="35"/>
      <c r="T25" s="37">
        <v>8</v>
      </c>
      <c r="U25" s="49">
        <f t="shared" si="3"/>
        <v>0.6</v>
      </c>
      <c r="V25" s="49">
        <f t="shared" si="4"/>
        <v>0.26153846153846155</v>
      </c>
      <c r="W25" s="49">
        <f t="shared" si="5"/>
        <v>0.13846153846153847</v>
      </c>
      <c r="X25" s="48"/>
      <c r="Y25" s="35"/>
      <c r="Z25" s="47"/>
      <c r="AA25" s="37">
        <v>8</v>
      </c>
      <c r="AB25" s="54">
        <f>U25-P25</f>
        <v>0.4939393939393939</v>
      </c>
      <c r="AC25" s="54">
        <f t="shared" si="7"/>
        <v>0.57179487179487176</v>
      </c>
      <c r="AD25" s="35"/>
      <c r="AE25" s="35"/>
      <c r="AF25" s="48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2:55" x14ac:dyDescent="0.25">
      <c r="B26" s="47"/>
      <c r="C26" s="37">
        <v>9</v>
      </c>
      <c r="D26" s="35">
        <v>9</v>
      </c>
      <c r="E26" s="35">
        <v>17</v>
      </c>
      <c r="F26" s="35">
        <v>39</v>
      </c>
      <c r="G26" s="35"/>
      <c r="H26" s="37">
        <v>9</v>
      </c>
      <c r="I26" s="35">
        <v>13</v>
      </c>
      <c r="J26" s="35">
        <v>6</v>
      </c>
      <c r="K26" s="35">
        <v>46</v>
      </c>
      <c r="L26" s="48"/>
      <c r="M26" s="35"/>
      <c r="N26" s="47"/>
      <c r="O26" s="37">
        <v>9</v>
      </c>
      <c r="P26" s="49">
        <f t="shared" si="0"/>
        <v>0.13846153846153847</v>
      </c>
      <c r="Q26" s="49">
        <f t="shared" si="1"/>
        <v>0.26153846153846155</v>
      </c>
      <c r="R26" s="49">
        <f t="shared" si="2"/>
        <v>0.6</v>
      </c>
      <c r="S26" s="35"/>
      <c r="T26" s="37">
        <v>9</v>
      </c>
      <c r="U26" s="49">
        <f t="shared" si="3"/>
        <v>0.2</v>
      </c>
      <c r="V26" s="49">
        <f t="shared" si="4"/>
        <v>9.2307692307692313E-2</v>
      </c>
      <c r="W26" s="49">
        <f t="shared" si="5"/>
        <v>0.70769230769230773</v>
      </c>
      <c r="X26" s="48"/>
      <c r="Y26" s="35"/>
      <c r="Z26" s="47"/>
      <c r="AA26" s="37">
        <v>9</v>
      </c>
      <c r="AB26" s="54">
        <f t="shared" si="6"/>
        <v>6.1538461538461542E-2</v>
      </c>
      <c r="AC26" s="54">
        <f t="shared" si="7"/>
        <v>0.16923076923076924</v>
      </c>
      <c r="AD26" s="35"/>
      <c r="AE26" s="35"/>
      <c r="AF26" s="48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2:55" x14ac:dyDescent="0.25">
      <c r="B27" s="47"/>
      <c r="C27" s="37">
        <v>10</v>
      </c>
      <c r="D27" s="35">
        <v>10</v>
      </c>
      <c r="E27" s="35">
        <v>41</v>
      </c>
      <c r="F27" s="35">
        <v>15</v>
      </c>
      <c r="G27" s="35"/>
      <c r="H27" s="37">
        <v>10</v>
      </c>
      <c r="I27" s="35">
        <v>48</v>
      </c>
      <c r="J27" s="35">
        <v>9</v>
      </c>
      <c r="K27" s="35">
        <v>8</v>
      </c>
      <c r="L27" s="48"/>
      <c r="M27" s="35"/>
      <c r="N27" s="47"/>
      <c r="O27" s="37">
        <v>10</v>
      </c>
      <c r="P27" s="49">
        <f t="shared" si="0"/>
        <v>0.15151515151515152</v>
      </c>
      <c r="Q27" s="49">
        <f t="shared" si="1"/>
        <v>0.62121212121212122</v>
      </c>
      <c r="R27" s="49">
        <f t="shared" si="2"/>
        <v>0.22727272727272727</v>
      </c>
      <c r="S27" s="35"/>
      <c r="T27" s="37">
        <v>10</v>
      </c>
      <c r="U27" s="49">
        <f t="shared" si="3"/>
        <v>0.7384615384615385</v>
      </c>
      <c r="V27" s="49">
        <f t="shared" si="4"/>
        <v>0.13846153846153847</v>
      </c>
      <c r="W27" s="49">
        <f t="shared" si="5"/>
        <v>0.12307692307692308</v>
      </c>
      <c r="X27" s="48"/>
      <c r="Y27" s="35"/>
      <c r="Z27" s="47"/>
      <c r="AA27" s="37">
        <v>10</v>
      </c>
      <c r="AB27" s="54">
        <f t="shared" si="6"/>
        <v>0.58694638694638701</v>
      </c>
      <c r="AC27" s="54">
        <f t="shared" si="7"/>
        <v>0.48275058275058275</v>
      </c>
      <c r="AD27" s="35"/>
      <c r="AE27" s="35"/>
      <c r="AF27" s="48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2:55" x14ac:dyDescent="0.25">
      <c r="B28" s="47"/>
      <c r="C28" s="37">
        <v>11</v>
      </c>
      <c r="D28" s="35">
        <v>14</v>
      </c>
      <c r="E28" s="35">
        <v>35</v>
      </c>
      <c r="F28" s="35">
        <v>17</v>
      </c>
      <c r="G28" s="35"/>
      <c r="H28" s="37">
        <v>11</v>
      </c>
      <c r="I28" s="35">
        <v>12</v>
      </c>
      <c r="J28" s="35">
        <v>15</v>
      </c>
      <c r="K28" s="35">
        <v>38</v>
      </c>
      <c r="L28" s="48"/>
      <c r="M28" s="35"/>
      <c r="N28" s="47"/>
      <c r="O28" s="37">
        <v>11</v>
      </c>
      <c r="P28" s="49">
        <f t="shared" si="0"/>
        <v>0.21212121212121213</v>
      </c>
      <c r="Q28" s="49">
        <f t="shared" si="1"/>
        <v>0.53030303030303028</v>
      </c>
      <c r="R28" s="49">
        <f t="shared" si="2"/>
        <v>0.25757575757575757</v>
      </c>
      <c r="S28" s="35"/>
      <c r="T28" s="37">
        <v>11</v>
      </c>
      <c r="U28" s="49">
        <f t="shared" si="3"/>
        <v>0.18461538461538463</v>
      </c>
      <c r="V28" s="49">
        <f t="shared" si="4"/>
        <v>0.23076923076923078</v>
      </c>
      <c r="W28" s="49">
        <f t="shared" si="5"/>
        <v>0.58461538461538465</v>
      </c>
      <c r="X28" s="48"/>
      <c r="Y28" s="35"/>
      <c r="Z28" s="47"/>
      <c r="AA28" s="37">
        <v>11</v>
      </c>
      <c r="AB28" s="54">
        <f t="shared" si="6"/>
        <v>-2.7505827505827501E-2</v>
      </c>
      <c r="AC28" s="54">
        <f t="shared" si="7"/>
        <v>0.29953379953379949</v>
      </c>
      <c r="AD28" s="35"/>
      <c r="AE28" s="35"/>
      <c r="AF28" s="48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2:55" x14ac:dyDescent="0.25">
      <c r="B29" s="47"/>
      <c r="C29" s="37">
        <v>12</v>
      </c>
      <c r="D29" s="35">
        <v>12</v>
      </c>
      <c r="E29" s="35">
        <v>53</v>
      </c>
      <c r="F29" s="35">
        <v>1</v>
      </c>
      <c r="G29" s="35"/>
      <c r="H29" s="37">
        <v>12</v>
      </c>
      <c r="I29" s="35">
        <v>62</v>
      </c>
      <c r="J29" s="35">
        <v>2</v>
      </c>
      <c r="K29" s="35">
        <v>1</v>
      </c>
      <c r="L29" s="48"/>
      <c r="M29" s="35"/>
      <c r="N29" s="47"/>
      <c r="O29" s="37">
        <v>12</v>
      </c>
      <c r="P29" s="49">
        <f t="shared" si="0"/>
        <v>0.18181818181818182</v>
      </c>
      <c r="Q29" s="49">
        <f t="shared" si="1"/>
        <v>0.80303030303030298</v>
      </c>
      <c r="R29" s="49">
        <f t="shared" si="2"/>
        <v>1.5151515151515152E-2</v>
      </c>
      <c r="S29" s="35"/>
      <c r="T29" s="37">
        <v>12</v>
      </c>
      <c r="U29" s="49">
        <f t="shared" si="3"/>
        <v>0.9538461538461539</v>
      </c>
      <c r="V29" s="49">
        <f t="shared" si="4"/>
        <v>3.0769230769230771E-2</v>
      </c>
      <c r="W29" s="49">
        <f t="shared" si="5"/>
        <v>1.5384615384615385E-2</v>
      </c>
      <c r="X29" s="48"/>
      <c r="Y29" s="35"/>
      <c r="Z29" s="47"/>
      <c r="AA29" s="37">
        <v>12</v>
      </c>
      <c r="AB29" s="54">
        <f t="shared" si="6"/>
        <v>0.77202797202797213</v>
      </c>
      <c r="AC29" s="54">
        <f t="shared" si="7"/>
        <v>0.77226107226107221</v>
      </c>
      <c r="AD29" s="35"/>
      <c r="AE29" s="35"/>
      <c r="AF29" s="48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2:55" x14ac:dyDescent="0.25">
      <c r="B30" s="47"/>
      <c r="C30" s="37">
        <v>13</v>
      </c>
      <c r="D30" s="35">
        <v>10</v>
      </c>
      <c r="E30" s="35">
        <v>26</v>
      </c>
      <c r="F30" s="35">
        <v>30</v>
      </c>
      <c r="G30" s="35"/>
      <c r="H30" s="37">
        <v>13</v>
      </c>
      <c r="I30" s="35">
        <v>58</v>
      </c>
      <c r="J30" s="35">
        <v>4</v>
      </c>
      <c r="K30" s="35">
        <v>3</v>
      </c>
      <c r="L30" s="48"/>
      <c r="M30" s="35"/>
      <c r="N30" s="47"/>
      <c r="O30" s="37">
        <v>13</v>
      </c>
      <c r="P30" s="49">
        <f t="shared" si="0"/>
        <v>0.15151515151515152</v>
      </c>
      <c r="Q30" s="49">
        <f t="shared" si="1"/>
        <v>0.39393939393939392</v>
      </c>
      <c r="R30" s="49">
        <f t="shared" si="2"/>
        <v>0.45454545454545453</v>
      </c>
      <c r="S30" s="35"/>
      <c r="T30" s="37">
        <v>13</v>
      </c>
      <c r="U30" s="49">
        <f t="shared" si="3"/>
        <v>0.89230769230769236</v>
      </c>
      <c r="V30" s="49">
        <f t="shared" si="4"/>
        <v>6.1538461538461542E-2</v>
      </c>
      <c r="W30" s="49">
        <f t="shared" si="5"/>
        <v>4.6153846153846156E-2</v>
      </c>
      <c r="X30" s="48"/>
      <c r="Y30" s="35"/>
      <c r="Z30" s="47"/>
      <c r="AA30" s="37">
        <v>13</v>
      </c>
      <c r="AB30" s="54">
        <f t="shared" si="6"/>
        <v>0.74079254079254087</v>
      </c>
      <c r="AC30" s="54">
        <f t="shared" si="7"/>
        <v>0.33240093240093238</v>
      </c>
      <c r="AD30" s="35"/>
      <c r="AE30" s="35"/>
      <c r="AF30" s="48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2:55" x14ac:dyDescent="0.25">
      <c r="B31" s="47"/>
      <c r="C31" s="37">
        <v>14</v>
      </c>
      <c r="D31" s="35">
        <v>23</v>
      </c>
      <c r="E31" s="35">
        <v>28</v>
      </c>
      <c r="F31" s="35">
        <v>15</v>
      </c>
      <c r="G31" s="35"/>
      <c r="H31" s="37">
        <v>14</v>
      </c>
      <c r="I31" s="35">
        <v>51</v>
      </c>
      <c r="J31" s="35">
        <v>6</v>
      </c>
      <c r="K31" s="35">
        <v>8</v>
      </c>
      <c r="L31" s="48"/>
      <c r="M31" s="35"/>
      <c r="N31" s="47"/>
      <c r="O31" s="37">
        <v>14</v>
      </c>
      <c r="P31" s="49">
        <f t="shared" si="0"/>
        <v>0.34848484848484851</v>
      </c>
      <c r="Q31" s="49">
        <f t="shared" si="1"/>
        <v>0.42424242424242425</v>
      </c>
      <c r="R31" s="49">
        <f t="shared" si="2"/>
        <v>0.22727272727272727</v>
      </c>
      <c r="S31" s="35"/>
      <c r="T31" s="37">
        <v>14</v>
      </c>
      <c r="U31" s="49">
        <f t="shared" si="3"/>
        <v>0.7846153846153846</v>
      </c>
      <c r="V31" s="49">
        <f t="shared" si="4"/>
        <v>9.2307692307692313E-2</v>
      </c>
      <c r="W31" s="49">
        <f t="shared" si="5"/>
        <v>0.12307692307692308</v>
      </c>
      <c r="X31" s="48"/>
      <c r="Y31" s="35"/>
      <c r="Z31" s="47"/>
      <c r="AA31" s="37">
        <v>14</v>
      </c>
      <c r="AB31" s="54">
        <f t="shared" si="6"/>
        <v>0.4361305361305361</v>
      </c>
      <c r="AC31" s="54">
        <f t="shared" si="7"/>
        <v>0.33193473193473194</v>
      </c>
      <c r="AD31" s="35"/>
      <c r="AE31" s="35"/>
      <c r="AF31" s="48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2:55" x14ac:dyDescent="0.25">
      <c r="B32" s="47"/>
      <c r="C32" s="37">
        <v>15</v>
      </c>
      <c r="D32" s="35">
        <v>16</v>
      </c>
      <c r="E32" s="35">
        <v>47</v>
      </c>
      <c r="F32" s="35">
        <v>3</v>
      </c>
      <c r="G32" s="35"/>
      <c r="H32" s="37">
        <v>15</v>
      </c>
      <c r="I32" s="35">
        <v>25</v>
      </c>
      <c r="J32" s="35">
        <v>29</v>
      </c>
      <c r="K32" s="35">
        <v>11</v>
      </c>
      <c r="L32" s="48"/>
      <c r="M32" s="35"/>
      <c r="N32" s="47"/>
      <c r="O32" s="37">
        <v>15</v>
      </c>
      <c r="P32" s="49">
        <f t="shared" si="0"/>
        <v>0.24242424242424243</v>
      </c>
      <c r="Q32" s="49">
        <f t="shared" si="1"/>
        <v>0.71212121212121215</v>
      </c>
      <c r="R32" s="49">
        <f t="shared" si="2"/>
        <v>4.5454545454545456E-2</v>
      </c>
      <c r="S32" s="35"/>
      <c r="T32" s="37">
        <v>15</v>
      </c>
      <c r="U32" s="49">
        <f t="shared" si="3"/>
        <v>0.38461538461538464</v>
      </c>
      <c r="V32" s="49">
        <f t="shared" si="4"/>
        <v>0.44615384615384618</v>
      </c>
      <c r="W32" s="49">
        <f t="shared" si="5"/>
        <v>0.16923076923076924</v>
      </c>
      <c r="X32" s="48"/>
      <c r="Y32" s="35"/>
      <c r="Z32" s="47"/>
      <c r="AA32" s="37">
        <v>15</v>
      </c>
      <c r="AB32" s="54">
        <f t="shared" si="6"/>
        <v>0.14219114219114221</v>
      </c>
      <c r="AC32" s="54">
        <f t="shared" si="7"/>
        <v>0.26596736596736598</v>
      </c>
      <c r="AD32" s="35"/>
      <c r="AE32" s="35"/>
      <c r="AF32" s="48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16384" x14ac:dyDescent="0.25">
      <c r="B33" s="47"/>
      <c r="C33" s="37">
        <v>16</v>
      </c>
      <c r="D33" s="35">
        <v>24</v>
      </c>
      <c r="E33" s="35">
        <v>36</v>
      </c>
      <c r="F33" s="35">
        <v>6</v>
      </c>
      <c r="G33" s="35"/>
      <c r="H33" s="37">
        <v>16</v>
      </c>
      <c r="I33" s="35">
        <v>53</v>
      </c>
      <c r="J33" s="35">
        <v>6</v>
      </c>
      <c r="K33" s="35">
        <v>6</v>
      </c>
      <c r="L33" s="48"/>
      <c r="M33" s="35"/>
      <c r="N33" s="47"/>
      <c r="O33" s="37">
        <v>16</v>
      </c>
      <c r="P33" s="49">
        <f t="shared" si="0"/>
        <v>0.36363636363636365</v>
      </c>
      <c r="Q33" s="49">
        <f t="shared" si="1"/>
        <v>0.54545454545454541</v>
      </c>
      <c r="R33" s="49">
        <f t="shared" si="2"/>
        <v>9.0909090909090912E-2</v>
      </c>
      <c r="S33" s="35"/>
      <c r="T33" s="37">
        <v>16</v>
      </c>
      <c r="U33" s="49">
        <f t="shared" si="3"/>
        <v>0.81538461538461537</v>
      </c>
      <c r="V33" s="49">
        <f t="shared" si="4"/>
        <v>9.2307692307692313E-2</v>
      </c>
      <c r="W33" s="49">
        <f t="shared" si="5"/>
        <v>9.2307692307692313E-2</v>
      </c>
      <c r="X33" s="48"/>
      <c r="Y33" s="35"/>
      <c r="Z33" s="47"/>
      <c r="AA33" s="37">
        <v>16</v>
      </c>
      <c r="AB33" s="54">
        <f t="shared" si="6"/>
        <v>0.45174825174825173</v>
      </c>
      <c r="AC33" s="54">
        <f t="shared" si="7"/>
        <v>0.4531468531468531</v>
      </c>
      <c r="AD33" s="35"/>
      <c r="AE33" s="35"/>
      <c r="AF33" s="48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16384" x14ac:dyDescent="0.25">
      <c r="B34" s="47"/>
      <c r="C34" s="37">
        <v>17</v>
      </c>
      <c r="D34" s="35">
        <v>12</v>
      </c>
      <c r="E34" s="35">
        <v>30</v>
      </c>
      <c r="F34" s="35">
        <v>24</v>
      </c>
      <c r="G34" s="35"/>
      <c r="H34" s="37">
        <v>17</v>
      </c>
      <c r="I34" s="35">
        <v>49</v>
      </c>
      <c r="J34" s="35">
        <v>4</v>
      </c>
      <c r="K34" s="35">
        <v>12</v>
      </c>
      <c r="L34" s="48"/>
      <c r="M34" s="35"/>
      <c r="N34" s="47"/>
      <c r="O34" s="37">
        <v>17</v>
      </c>
      <c r="P34" s="49">
        <f t="shared" si="0"/>
        <v>0.18181818181818182</v>
      </c>
      <c r="Q34" s="49">
        <f t="shared" si="1"/>
        <v>0.45454545454545453</v>
      </c>
      <c r="R34" s="49">
        <f t="shared" si="2"/>
        <v>0.36363636363636365</v>
      </c>
      <c r="S34" s="35"/>
      <c r="T34" s="37">
        <v>17</v>
      </c>
      <c r="U34" s="49">
        <f t="shared" si="3"/>
        <v>0.75384615384615383</v>
      </c>
      <c r="V34" s="49">
        <f t="shared" si="4"/>
        <v>6.1538461538461542E-2</v>
      </c>
      <c r="W34" s="49">
        <f t="shared" si="5"/>
        <v>0.18461538461538463</v>
      </c>
      <c r="X34" s="48"/>
      <c r="Y34" s="35"/>
      <c r="Z34" s="47"/>
      <c r="AA34" s="37">
        <v>17</v>
      </c>
      <c r="AB34" s="54">
        <f t="shared" si="6"/>
        <v>0.57202797202797195</v>
      </c>
      <c r="AC34" s="54">
        <f t="shared" si="7"/>
        <v>0.39300699300699299</v>
      </c>
      <c r="AD34" s="35"/>
      <c r="AE34" s="35"/>
      <c r="AF34" s="48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16384" x14ac:dyDescent="0.25">
      <c r="B35" s="47"/>
      <c r="C35" s="37">
        <v>18</v>
      </c>
      <c r="D35" s="35">
        <v>3</v>
      </c>
      <c r="E35" s="35">
        <v>47</v>
      </c>
      <c r="F35" s="35">
        <v>16</v>
      </c>
      <c r="G35" s="35"/>
      <c r="H35" s="37">
        <v>18</v>
      </c>
      <c r="I35" s="35">
        <v>19</v>
      </c>
      <c r="J35" s="35">
        <v>40</v>
      </c>
      <c r="K35" s="35">
        <v>6</v>
      </c>
      <c r="L35" s="48"/>
      <c r="M35" s="35"/>
      <c r="N35" s="47"/>
      <c r="O35" s="37">
        <v>18</v>
      </c>
      <c r="P35" s="49">
        <f t="shared" si="0"/>
        <v>4.5454545454545456E-2</v>
      </c>
      <c r="Q35" s="49">
        <f t="shared" si="1"/>
        <v>0.71212121212121215</v>
      </c>
      <c r="R35" s="49">
        <f t="shared" si="2"/>
        <v>0.24242424242424243</v>
      </c>
      <c r="S35" s="35"/>
      <c r="T35" s="37">
        <v>18</v>
      </c>
      <c r="U35" s="49">
        <f t="shared" si="3"/>
        <v>0.29230769230769232</v>
      </c>
      <c r="V35" s="49">
        <f t="shared" si="4"/>
        <v>0.61538461538461542</v>
      </c>
      <c r="W35" s="49">
        <f t="shared" si="5"/>
        <v>9.2307692307692313E-2</v>
      </c>
      <c r="X35" s="48"/>
      <c r="Y35" s="35"/>
      <c r="Z35" s="47"/>
      <c r="AA35" s="37">
        <v>18</v>
      </c>
      <c r="AB35" s="54">
        <f t="shared" si="6"/>
        <v>0.24685314685314685</v>
      </c>
      <c r="AC35" s="54">
        <f t="shared" si="7"/>
        <v>9.6736596736596736E-2</v>
      </c>
      <c r="AD35" s="35"/>
      <c r="AE35" s="35"/>
      <c r="AF35" s="48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16384" x14ac:dyDescent="0.25">
      <c r="B36" s="47"/>
      <c r="C36" s="37">
        <v>19</v>
      </c>
      <c r="D36" s="35">
        <v>11</v>
      </c>
      <c r="E36" s="35">
        <v>51</v>
      </c>
      <c r="F36" s="35">
        <v>4</v>
      </c>
      <c r="G36" s="35"/>
      <c r="H36" s="37">
        <v>19</v>
      </c>
      <c r="I36" s="35">
        <v>55</v>
      </c>
      <c r="J36" s="35">
        <v>8</v>
      </c>
      <c r="K36" s="35">
        <v>2</v>
      </c>
      <c r="L36" s="48"/>
      <c r="M36" s="35"/>
      <c r="N36" s="47"/>
      <c r="O36" s="37">
        <v>19</v>
      </c>
      <c r="P36" s="49">
        <f t="shared" si="0"/>
        <v>0.16666666666666666</v>
      </c>
      <c r="Q36" s="49">
        <f t="shared" si="1"/>
        <v>0.77272727272727271</v>
      </c>
      <c r="R36" s="49">
        <f t="shared" si="2"/>
        <v>6.0606060606060608E-2</v>
      </c>
      <c r="S36" s="35"/>
      <c r="T36" s="37">
        <v>19</v>
      </c>
      <c r="U36" s="49">
        <f t="shared" si="3"/>
        <v>0.84615384615384615</v>
      </c>
      <c r="V36" s="49">
        <f t="shared" si="4"/>
        <v>0.12307692307692308</v>
      </c>
      <c r="W36" s="49">
        <f t="shared" si="5"/>
        <v>3.0769230769230771E-2</v>
      </c>
      <c r="X36" s="48"/>
      <c r="Y36" s="35"/>
      <c r="Z36" s="47"/>
      <c r="AA36" s="37">
        <v>19</v>
      </c>
      <c r="AB36" s="54">
        <f t="shared" si="6"/>
        <v>0.67948717948717952</v>
      </c>
      <c r="AC36" s="54">
        <f t="shared" si="7"/>
        <v>0.64965034965034962</v>
      </c>
      <c r="AD36" s="35"/>
      <c r="AE36" s="35"/>
      <c r="AF36" s="48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16384" x14ac:dyDescent="0.25">
      <c r="B37" s="47"/>
      <c r="C37" s="37">
        <v>20</v>
      </c>
      <c r="D37" s="35">
        <v>30</v>
      </c>
      <c r="E37" s="35">
        <v>15</v>
      </c>
      <c r="F37" s="35">
        <v>21</v>
      </c>
      <c r="G37" s="35"/>
      <c r="H37" s="37">
        <v>20</v>
      </c>
      <c r="I37" s="35">
        <v>55</v>
      </c>
      <c r="J37" s="35">
        <v>2</v>
      </c>
      <c r="K37" s="35">
        <v>7</v>
      </c>
      <c r="L37" s="48"/>
      <c r="M37" s="35"/>
      <c r="N37" s="47"/>
      <c r="O37" s="37">
        <v>20</v>
      </c>
      <c r="P37" s="49">
        <f t="shared" si="0"/>
        <v>0.45454545454545453</v>
      </c>
      <c r="Q37" s="49">
        <f t="shared" si="1"/>
        <v>0.22727272727272727</v>
      </c>
      <c r="R37" s="49">
        <f t="shared" si="2"/>
        <v>0.31818181818181818</v>
      </c>
      <c r="S37" s="35"/>
      <c r="T37" s="37">
        <v>20</v>
      </c>
      <c r="U37" s="49">
        <f t="shared" si="3"/>
        <v>0.859375</v>
      </c>
      <c r="V37" s="49">
        <f t="shared" si="4"/>
        <v>3.125E-2</v>
      </c>
      <c r="W37" s="49">
        <f t="shared" si="5"/>
        <v>0.109375</v>
      </c>
      <c r="X37" s="48"/>
      <c r="Y37" s="35"/>
      <c r="Z37" s="47"/>
      <c r="AA37" s="37">
        <v>20</v>
      </c>
      <c r="AB37" s="54">
        <f t="shared" si="6"/>
        <v>0.40482954545454547</v>
      </c>
      <c r="AC37" s="54">
        <f t="shared" si="7"/>
        <v>0.19602272727272727</v>
      </c>
      <c r="AD37" s="35"/>
      <c r="AE37" s="35"/>
      <c r="AF37" s="48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16384" ht="15.75" thickBot="1" x14ac:dyDescent="0.3">
      <c r="B38" s="50"/>
      <c r="C38" s="43"/>
      <c r="D38" s="43"/>
      <c r="E38" s="43"/>
      <c r="F38" s="43"/>
      <c r="G38" s="43"/>
      <c r="H38" s="43"/>
      <c r="I38" s="43"/>
      <c r="J38" s="43"/>
      <c r="K38" s="43"/>
      <c r="L38" s="51"/>
      <c r="M38" s="35"/>
      <c r="N38" s="50"/>
      <c r="O38" s="43"/>
      <c r="P38" s="43"/>
      <c r="Q38" s="43"/>
      <c r="R38" s="43"/>
      <c r="S38" s="43"/>
      <c r="T38" s="43"/>
      <c r="U38" s="43"/>
      <c r="V38" s="43"/>
      <c r="W38" s="43"/>
      <c r="X38" s="51"/>
      <c r="Y38" s="35"/>
      <c r="Z38" s="50"/>
      <c r="AA38" s="43"/>
      <c r="AB38" s="43"/>
      <c r="AC38" s="43"/>
      <c r="AD38" s="43"/>
      <c r="AE38" s="43"/>
      <c r="AF38" s="5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16384" s="1" customFormat="1" ht="15.75" thickTop="1" x14ac:dyDescent="0.25"/>
    <row r="40" spans="1:16384" s="1" customFormat="1" x14ac:dyDescent="0.25"/>
    <row r="41" spans="1:16384" s="1" customFormat="1" x14ac:dyDescent="0.25"/>
    <row r="42" spans="1:16384" s="31" customFormat="1" ht="18.75" x14ac:dyDescent="0.3">
      <c r="A42" s="1"/>
      <c r="J42" s="3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spans="1:16384" s="31" customFormat="1" ht="18.75" x14ac:dyDescent="0.3">
      <c r="A43" s="1"/>
      <c r="C43" s="32" t="s">
        <v>101</v>
      </c>
      <c r="D43" s="32"/>
      <c r="E43" s="32"/>
      <c r="F43" s="32"/>
      <c r="G43" s="32"/>
      <c r="H43" s="32"/>
      <c r="I43" s="32"/>
      <c r="J43" s="32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spans="1:16384" s="31" customFormat="1" ht="19.5" thickBot="1" x14ac:dyDescent="0.35">
      <c r="A44" s="1"/>
      <c r="D44" s="32"/>
      <c r="E44" s="32"/>
      <c r="F44" s="32"/>
      <c r="G44" s="32"/>
      <c r="H44" s="32"/>
      <c r="I44" s="32"/>
      <c r="J44" s="32"/>
      <c r="K44" s="32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spans="1:16384" s="31" customFormat="1" ht="15.75" thickTop="1" x14ac:dyDescent="0.25">
      <c r="A45" s="1"/>
      <c r="B45" s="44"/>
      <c r="C45" s="45"/>
      <c r="D45" s="45"/>
      <c r="E45" s="45"/>
      <c r="F45" s="45"/>
      <c r="G45" s="45"/>
      <c r="H45" s="45"/>
      <c r="I45" s="45"/>
      <c r="J45" s="45"/>
      <c r="K45" s="45"/>
      <c r="L45" s="46"/>
      <c r="M45" s="1"/>
      <c r="N45" s="44"/>
      <c r="O45" s="45"/>
      <c r="P45" s="45"/>
      <c r="Q45" s="45"/>
      <c r="R45" s="45"/>
      <c r="S45" s="45"/>
      <c r="T45" s="45"/>
      <c r="U45" s="45"/>
      <c r="V45" s="45"/>
      <c r="W45" s="45"/>
      <c r="X45" s="46"/>
      <c r="Y45" s="1"/>
      <c r="Z45" s="44"/>
      <c r="AA45" s="45"/>
      <c r="AB45" s="45"/>
      <c r="AC45" s="45"/>
      <c r="AD45" s="45"/>
      <c r="AE45" s="45"/>
      <c r="AF45" s="46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/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/>
      <c r="AHB45" s="1"/>
      <c r="AHC45" s="1"/>
      <c r="AHD45" s="1"/>
      <c r="AHE45" s="1"/>
      <c r="AHF45" s="1"/>
      <c r="AHG45" s="1"/>
      <c r="AHH45" s="1"/>
      <c r="AHI45" s="1"/>
      <c r="AHJ45" s="1"/>
      <c r="AHK45" s="1"/>
      <c r="AHL45" s="1"/>
      <c r="AHM45" s="1"/>
      <c r="AHN45" s="1"/>
      <c r="AHO45" s="1"/>
      <c r="AHP45" s="1"/>
      <c r="AHQ45" s="1"/>
      <c r="AHR45" s="1"/>
      <c r="AHS45" s="1"/>
      <c r="AHT45" s="1"/>
      <c r="AHU45" s="1"/>
      <c r="AHV45" s="1"/>
      <c r="AHW45" s="1"/>
      <c r="AHX45" s="1"/>
      <c r="AHY45" s="1"/>
      <c r="AHZ45" s="1"/>
      <c r="AIA45" s="1"/>
      <c r="AIB45" s="1"/>
      <c r="AIC45" s="1"/>
      <c r="AID45" s="1"/>
      <c r="AIE45" s="1"/>
      <c r="AIF45" s="1"/>
      <c r="AIG45" s="1"/>
      <c r="AIH45" s="1"/>
      <c r="AII45" s="1"/>
      <c r="AIJ45" s="1"/>
      <c r="AIK45" s="1"/>
      <c r="AIL45" s="1"/>
      <c r="AIM45" s="1"/>
      <c r="AIN45" s="1"/>
      <c r="AIO45" s="1"/>
      <c r="AIP45" s="1"/>
      <c r="AIQ45" s="1"/>
      <c r="AIR45" s="1"/>
      <c r="AIS45" s="1"/>
      <c r="AIT45" s="1"/>
      <c r="AIU45" s="1"/>
      <c r="AIV45" s="1"/>
      <c r="AIW45" s="1"/>
      <c r="AIX45" s="1"/>
      <c r="AIY45" s="1"/>
      <c r="AIZ45" s="1"/>
      <c r="AJA45" s="1"/>
      <c r="AJB45" s="1"/>
      <c r="AJC45" s="1"/>
      <c r="AJD45" s="1"/>
      <c r="AJE45" s="1"/>
      <c r="AJF45" s="1"/>
      <c r="AJG45" s="1"/>
      <c r="AJH45" s="1"/>
      <c r="AJI45" s="1"/>
      <c r="AJJ45" s="1"/>
      <c r="AJK45" s="1"/>
      <c r="AJL45" s="1"/>
      <c r="AJM45" s="1"/>
      <c r="AJN45" s="1"/>
      <c r="AJO45" s="1"/>
      <c r="AJP45" s="1"/>
      <c r="AJQ45" s="1"/>
      <c r="AJR45" s="1"/>
      <c r="AJS45" s="1"/>
      <c r="AJT45" s="1"/>
      <c r="AJU45" s="1"/>
      <c r="AJV45" s="1"/>
      <c r="AJW45" s="1"/>
      <c r="AJX45" s="1"/>
      <c r="AJY45" s="1"/>
      <c r="AJZ45" s="1"/>
      <c r="AKA45" s="1"/>
      <c r="AKB45" s="1"/>
      <c r="AKC45" s="1"/>
      <c r="AKD45" s="1"/>
      <c r="AKE45" s="1"/>
      <c r="AKF45" s="1"/>
      <c r="AKG45" s="1"/>
      <c r="AKH45" s="1"/>
      <c r="AKI45" s="1"/>
      <c r="AKJ45" s="1"/>
      <c r="AKK45" s="1"/>
      <c r="AKL45" s="1"/>
      <c r="AKM45" s="1"/>
      <c r="AKN45" s="1"/>
      <c r="AKO45" s="1"/>
      <c r="AKP45" s="1"/>
      <c r="AKQ45" s="1"/>
      <c r="AKR45" s="1"/>
      <c r="AKS45" s="1"/>
      <c r="AKT45" s="1"/>
      <c r="AKU45" s="1"/>
      <c r="AKV45" s="1"/>
      <c r="AKW45" s="1"/>
      <c r="AKX45" s="1"/>
      <c r="AKY45" s="1"/>
      <c r="AKZ45" s="1"/>
      <c r="ALA45" s="1"/>
      <c r="ALB45" s="1"/>
      <c r="ALC45" s="1"/>
      <c r="ALD45" s="1"/>
      <c r="ALE45" s="1"/>
      <c r="ALF45" s="1"/>
      <c r="ALG45" s="1"/>
      <c r="ALH45" s="1"/>
      <c r="ALI45" s="1"/>
      <c r="ALJ45" s="1"/>
      <c r="ALK45" s="1"/>
      <c r="ALL45" s="1"/>
      <c r="ALM45" s="1"/>
      <c r="ALN45" s="1"/>
      <c r="ALO45" s="1"/>
      <c r="ALP45" s="1"/>
      <c r="ALQ45" s="1"/>
      <c r="ALR45" s="1"/>
      <c r="ALS45" s="1"/>
      <c r="ALT45" s="1"/>
      <c r="ALU45" s="1"/>
      <c r="ALV45" s="1"/>
      <c r="ALW45" s="1"/>
      <c r="ALX45" s="1"/>
      <c r="ALY45" s="1"/>
      <c r="ALZ45" s="1"/>
      <c r="AMA45" s="1"/>
      <c r="AMB45" s="1"/>
      <c r="AMC45" s="1"/>
      <c r="AMD45" s="1"/>
      <c r="AME45" s="1"/>
      <c r="AMF45" s="1"/>
      <c r="AMG45" s="1"/>
      <c r="AMH45" s="1"/>
      <c r="AMI45" s="1"/>
      <c r="AMJ45" s="1"/>
      <c r="AMK45" s="1"/>
      <c r="AML45" s="1"/>
      <c r="AMM45" s="1"/>
      <c r="AMN45" s="1"/>
      <c r="AMO45" s="1"/>
      <c r="AMP45" s="1"/>
      <c r="AMQ45" s="1"/>
      <c r="AMR45" s="1"/>
      <c r="AMS45" s="1"/>
      <c r="AMT45" s="1"/>
      <c r="AMU45" s="1"/>
      <c r="AMV45" s="1"/>
      <c r="AMW45" s="1"/>
      <c r="AMX45" s="1"/>
      <c r="AMY45" s="1"/>
      <c r="AMZ45" s="1"/>
      <c r="ANA45" s="1"/>
      <c r="ANB45" s="1"/>
      <c r="ANC45" s="1"/>
      <c r="AND45" s="1"/>
      <c r="ANE45" s="1"/>
      <c r="ANF45" s="1"/>
      <c r="ANG45" s="1"/>
      <c r="ANH45" s="1"/>
      <c r="ANI45" s="1"/>
      <c r="ANJ45" s="1"/>
      <c r="ANK45" s="1"/>
      <c r="ANL45" s="1"/>
      <c r="ANM45" s="1"/>
      <c r="ANN45" s="1"/>
      <c r="ANO45" s="1"/>
      <c r="ANP45" s="1"/>
      <c r="ANQ45" s="1"/>
      <c r="ANR45" s="1"/>
      <c r="ANS45" s="1"/>
      <c r="ANT45" s="1"/>
      <c r="ANU45" s="1"/>
      <c r="ANV45" s="1"/>
      <c r="ANW45" s="1"/>
      <c r="ANX45" s="1"/>
      <c r="ANY45" s="1"/>
      <c r="ANZ45" s="1"/>
      <c r="AOA45" s="1"/>
      <c r="AOB45" s="1"/>
      <c r="AOC45" s="1"/>
      <c r="AOD45" s="1"/>
      <c r="AOE45" s="1"/>
      <c r="AOF45" s="1"/>
      <c r="AOG45" s="1"/>
      <c r="AOH45" s="1"/>
      <c r="AOI45" s="1"/>
      <c r="AOJ45" s="1"/>
      <c r="AOK45" s="1"/>
      <c r="AOL45" s="1"/>
      <c r="AOM45" s="1"/>
      <c r="AON45" s="1"/>
      <c r="AOO45" s="1"/>
      <c r="AOP45" s="1"/>
      <c r="AOQ45" s="1"/>
      <c r="AOR45" s="1"/>
      <c r="AOS45" s="1"/>
      <c r="AOT45" s="1"/>
      <c r="AOU45" s="1"/>
      <c r="AOV45" s="1"/>
      <c r="AOW45" s="1"/>
      <c r="AOX45" s="1"/>
      <c r="AOY45" s="1"/>
      <c r="AOZ45" s="1"/>
      <c r="APA45" s="1"/>
      <c r="APB45" s="1"/>
      <c r="APC45" s="1"/>
      <c r="APD45" s="1"/>
      <c r="APE45" s="1"/>
      <c r="APF45" s="1"/>
      <c r="APG45" s="1"/>
      <c r="APH45" s="1"/>
      <c r="API45" s="1"/>
      <c r="APJ45" s="1"/>
      <c r="APK45" s="1"/>
      <c r="APL45" s="1"/>
      <c r="APM45" s="1"/>
      <c r="APN45" s="1"/>
      <c r="APO45" s="1"/>
      <c r="APP45" s="1"/>
      <c r="APQ45" s="1"/>
      <c r="APR45" s="1"/>
      <c r="APS45" s="1"/>
      <c r="APT45" s="1"/>
      <c r="APU45" s="1"/>
      <c r="APV45" s="1"/>
      <c r="APW45" s="1"/>
      <c r="APX45" s="1"/>
      <c r="APY45" s="1"/>
      <c r="APZ45" s="1"/>
      <c r="AQA45" s="1"/>
      <c r="AQB45" s="1"/>
      <c r="AQC45" s="1"/>
      <c r="AQD45" s="1"/>
      <c r="AQE45" s="1"/>
      <c r="AQF45" s="1"/>
      <c r="AQG45" s="1"/>
      <c r="AQH45" s="1"/>
      <c r="AQI45" s="1"/>
      <c r="AQJ45" s="1"/>
      <c r="AQK45" s="1"/>
      <c r="AQL45" s="1"/>
      <c r="AQM45" s="1"/>
      <c r="AQN45" s="1"/>
      <c r="AQO45" s="1"/>
      <c r="AQP45" s="1"/>
      <c r="AQQ45" s="1"/>
      <c r="AQR45" s="1"/>
      <c r="AQS45" s="1"/>
      <c r="AQT45" s="1"/>
      <c r="AQU45" s="1"/>
      <c r="AQV45" s="1"/>
      <c r="AQW45" s="1"/>
      <c r="AQX45" s="1"/>
      <c r="AQY45" s="1"/>
      <c r="AQZ45" s="1"/>
      <c r="ARA45" s="1"/>
      <c r="ARB45" s="1"/>
      <c r="ARC45" s="1"/>
      <c r="ARD45" s="1"/>
      <c r="ARE45" s="1"/>
      <c r="ARF45" s="1"/>
      <c r="ARG45" s="1"/>
      <c r="ARH45" s="1"/>
      <c r="ARI45" s="1"/>
      <c r="ARJ45" s="1"/>
      <c r="ARK45" s="1"/>
      <c r="ARL45" s="1"/>
      <c r="ARM45" s="1"/>
      <c r="ARN45" s="1"/>
      <c r="ARO45" s="1"/>
      <c r="ARP45" s="1"/>
      <c r="ARQ45" s="1"/>
      <c r="ARR45" s="1"/>
      <c r="ARS45" s="1"/>
      <c r="ART45" s="1"/>
      <c r="ARU45" s="1"/>
      <c r="ARV45" s="1"/>
      <c r="ARW45" s="1"/>
      <c r="ARX45" s="1"/>
      <c r="ARY45" s="1"/>
      <c r="ARZ45" s="1"/>
      <c r="ASA45" s="1"/>
      <c r="ASB45" s="1"/>
      <c r="ASC45" s="1"/>
      <c r="ASD45" s="1"/>
      <c r="ASE45" s="1"/>
      <c r="ASF45" s="1"/>
      <c r="ASG45" s="1"/>
      <c r="ASH45" s="1"/>
      <c r="ASI45" s="1"/>
      <c r="ASJ45" s="1"/>
      <c r="ASK45" s="1"/>
      <c r="ASL45" s="1"/>
      <c r="ASM45" s="1"/>
      <c r="ASN45" s="1"/>
      <c r="ASO45" s="1"/>
      <c r="ASP45" s="1"/>
      <c r="ASQ45" s="1"/>
      <c r="ASR45" s="1"/>
      <c r="ASS45" s="1"/>
      <c r="AST45" s="1"/>
      <c r="ASU45" s="1"/>
      <c r="ASV45" s="1"/>
      <c r="ASW45" s="1"/>
      <c r="ASX45" s="1"/>
      <c r="ASY45" s="1"/>
      <c r="ASZ45" s="1"/>
      <c r="ATA45" s="1"/>
      <c r="ATB45" s="1"/>
      <c r="ATC45" s="1"/>
      <c r="ATD45" s="1"/>
      <c r="ATE45" s="1"/>
      <c r="ATF45" s="1"/>
      <c r="ATG45" s="1"/>
      <c r="ATH45" s="1"/>
      <c r="ATI45" s="1"/>
      <c r="ATJ45" s="1"/>
      <c r="ATK45" s="1"/>
      <c r="ATL45" s="1"/>
      <c r="ATM45" s="1"/>
      <c r="ATN45" s="1"/>
      <c r="ATO45" s="1"/>
      <c r="ATP45" s="1"/>
      <c r="ATQ45" s="1"/>
      <c r="ATR45" s="1"/>
      <c r="ATS45" s="1"/>
      <c r="ATT45" s="1"/>
      <c r="ATU45" s="1"/>
      <c r="ATV45" s="1"/>
      <c r="ATW45" s="1"/>
      <c r="ATX45" s="1"/>
      <c r="ATY45" s="1"/>
      <c r="ATZ45" s="1"/>
      <c r="AUA45" s="1"/>
      <c r="AUB45" s="1"/>
      <c r="AUC45" s="1"/>
      <c r="AUD45" s="1"/>
      <c r="AUE45" s="1"/>
      <c r="AUF45" s="1"/>
      <c r="AUG45" s="1"/>
      <c r="AUH45" s="1"/>
      <c r="AUI45" s="1"/>
      <c r="AUJ45" s="1"/>
      <c r="AUK45" s="1"/>
      <c r="AUL45" s="1"/>
      <c r="AUM45" s="1"/>
      <c r="AUN45" s="1"/>
      <c r="AUO45" s="1"/>
      <c r="AUP45" s="1"/>
      <c r="AUQ45" s="1"/>
      <c r="AUR45" s="1"/>
      <c r="AUS45" s="1"/>
      <c r="AUT45" s="1"/>
      <c r="AUU45" s="1"/>
      <c r="AUV45" s="1"/>
      <c r="AUW45" s="1"/>
      <c r="AUX45" s="1"/>
      <c r="AUY45" s="1"/>
      <c r="AUZ45" s="1"/>
      <c r="AVA45" s="1"/>
      <c r="AVB45" s="1"/>
      <c r="AVC45" s="1"/>
      <c r="AVD45" s="1"/>
      <c r="AVE45" s="1"/>
      <c r="AVF45" s="1"/>
      <c r="AVG45" s="1"/>
      <c r="AVH45" s="1"/>
      <c r="AVI45" s="1"/>
      <c r="AVJ45" s="1"/>
      <c r="AVK45" s="1"/>
      <c r="AVL45" s="1"/>
      <c r="AVM45" s="1"/>
      <c r="AVN45" s="1"/>
      <c r="AVO45" s="1"/>
      <c r="AVP45" s="1"/>
      <c r="AVQ45" s="1"/>
      <c r="AVR45" s="1"/>
      <c r="AVS45" s="1"/>
      <c r="AVT45" s="1"/>
      <c r="AVU45" s="1"/>
      <c r="AVV45" s="1"/>
      <c r="AVW45" s="1"/>
      <c r="AVX45" s="1"/>
      <c r="AVY45" s="1"/>
      <c r="AVZ45" s="1"/>
      <c r="AWA45" s="1"/>
      <c r="AWB45" s="1"/>
      <c r="AWC45" s="1"/>
      <c r="AWD45" s="1"/>
      <c r="AWE45" s="1"/>
      <c r="AWF45" s="1"/>
      <c r="AWG45" s="1"/>
      <c r="AWH45" s="1"/>
      <c r="AWI45" s="1"/>
      <c r="AWJ45" s="1"/>
      <c r="AWK45" s="1"/>
      <c r="AWL45" s="1"/>
      <c r="AWM45" s="1"/>
      <c r="AWN45" s="1"/>
      <c r="AWO45" s="1"/>
      <c r="AWP45" s="1"/>
      <c r="AWQ45" s="1"/>
      <c r="AWR45" s="1"/>
      <c r="AWS45" s="1"/>
      <c r="AWT45" s="1"/>
      <c r="AWU45" s="1"/>
      <c r="AWV45" s="1"/>
      <c r="AWW45" s="1"/>
      <c r="AWX45" s="1"/>
      <c r="AWY45" s="1"/>
      <c r="AWZ45" s="1"/>
      <c r="AXA45" s="1"/>
      <c r="AXB45" s="1"/>
      <c r="AXC45" s="1"/>
      <c r="AXD45" s="1"/>
      <c r="AXE45" s="1"/>
      <c r="AXF45" s="1"/>
      <c r="AXG45" s="1"/>
      <c r="AXH45" s="1"/>
      <c r="AXI45" s="1"/>
      <c r="AXJ45" s="1"/>
      <c r="AXK45" s="1"/>
      <c r="AXL45" s="1"/>
      <c r="AXM45" s="1"/>
      <c r="AXN45" s="1"/>
      <c r="AXO45" s="1"/>
      <c r="AXP45" s="1"/>
      <c r="AXQ45" s="1"/>
      <c r="AXR45" s="1"/>
      <c r="AXS45" s="1"/>
      <c r="AXT45" s="1"/>
      <c r="AXU45" s="1"/>
      <c r="AXV45" s="1"/>
      <c r="AXW45" s="1"/>
      <c r="AXX45" s="1"/>
      <c r="AXY45" s="1"/>
      <c r="AXZ45" s="1"/>
      <c r="AYA45" s="1"/>
      <c r="AYB45" s="1"/>
      <c r="AYC45" s="1"/>
      <c r="AYD45" s="1"/>
      <c r="AYE45" s="1"/>
      <c r="AYF45" s="1"/>
      <c r="AYG45" s="1"/>
      <c r="AYH45" s="1"/>
      <c r="AYI45" s="1"/>
      <c r="AYJ45" s="1"/>
      <c r="AYK45" s="1"/>
      <c r="AYL45" s="1"/>
      <c r="AYM45" s="1"/>
      <c r="AYN45" s="1"/>
      <c r="AYO45" s="1"/>
      <c r="AYP45" s="1"/>
      <c r="AYQ45" s="1"/>
      <c r="AYR45" s="1"/>
      <c r="AYS45" s="1"/>
      <c r="AYT45" s="1"/>
      <c r="AYU45" s="1"/>
      <c r="AYV45" s="1"/>
      <c r="AYW45" s="1"/>
      <c r="AYX45" s="1"/>
      <c r="AYY45" s="1"/>
      <c r="AYZ45" s="1"/>
      <c r="AZA45" s="1"/>
      <c r="AZB45" s="1"/>
      <c r="AZC45" s="1"/>
      <c r="AZD45" s="1"/>
      <c r="AZE45" s="1"/>
      <c r="AZF45" s="1"/>
      <c r="AZG45" s="1"/>
      <c r="AZH45" s="1"/>
      <c r="AZI45" s="1"/>
      <c r="AZJ45" s="1"/>
      <c r="AZK45" s="1"/>
      <c r="AZL45" s="1"/>
      <c r="AZM45" s="1"/>
      <c r="AZN45" s="1"/>
      <c r="AZO45" s="1"/>
      <c r="AZP45" s="1"/>
      <c r="AZQ45" s="1"/>
      <c r="AZR45" s="1"/>
      <c r="AZS45" s="1"/>
      <c r="AZT45" s="1"/>
      <c r="AZU45" s="1"/>
      <c r="AZV45" s="1"/>
      <c r="AZW45" s="1"/>
      <c r="AZX45" s="1"/>
      <c r="AZY45" s="1"/>
      <c r="AZZ45" s="1"/>
      <c r="BAA45" s="1"/>
      <c r="BAB45" s="1"/>
      <c r="BAC45" s="1"/>
      <c r="BAD45" s="1"/>
      <c r="BAE45" s="1"/>
      <c r="BAF45" s="1"/>
      <c r="BAG45" s="1"/>
      <c r="BAH45" s="1"/>
      <c r="BAI45" s="1"/>
      <c r="BAJ45" s="1"/>
      <c r="BAK45" s="1"/>
      <c r="BAL45" s="1"/>
      <c r="BAM45" s="1"/>
      <c r="BAN45" s="1"/>
      <c r="BAO45" s="1"/>
      <c r="BAP45" s="1"/>
      <c r="BAQ45" s="1"/>
      <c r="BAR45" s="1"/>
      <c r="BAS45" s="1"/>
      <c r="BAT45" s="1"/>
      <c r="BAU45" s="1"/>
      <c r="BAV45" s="1"/>
      <c r="BAW45" s="1"/>
      <c r="BAX45" s="1"/>
      <c r="BAY45" s="1"/>
      <c r="BAZ45" s="1"/>
      <c r="BBA45" s="1"/>
      <c r="BBB45" s="1"/>
      <c r="BBC45" s="1"/>
      <c r="BBD45" s="1"/>
      <c r="BBE45" s="1"/>
      <c r="BBF45" s="1"/>
      <c r="BBG45" s="1"/>
      <c r="BBH45" s="1"/>
      <c r="BBI45" s="1"/>
      <c r="BBJ45" s="1"/>
      <c r="BBK45" s="1"/>
      <c r="BBL45" s="1"/>
      <c r="BBM45" s="1"/>
      <c r="BBN45" s="1"/>
      <c r="BBO45" s="1"/>
      <c r="BBP45" s="1"/>
      <c r="BBQ45" s="1"/>
      <c r="BBR45" s="1"/>
      <c r="BBS45" s="1"/>
      <c r="BBT45" s="1"/>
      <c r="BBU45" s="1"/>
      <c r="BBV45" s="1"/>
      <c r="BBW45" s="1"/>
      <c r="BBX45" s="1"/>
      <c r="BBY45" s="1"/>
      <c r="BBZ45" s="1"/>
      <c r="BCA45" s="1"/>
      <c r="BCB45" s="1"/>
      <c r="BCC45" s="1"/>
      <c r="BCD45" s="1"/>
      <c r="BCE45" s="1"/>
      <c r="BCF45" s="1"/>
      <c r="BCG45" s="1"/>
      <c r="BCH45" s="1"/>
      <c r="BCI45" s="1"/>
      <c r="BCJ45" s="1"/>
      <c r="BCK45" s="1"/>
      <c r="BCL45" s="1"/>
      <c r="BCM45" s="1"/>
      <c r="BCN45" s="1"/>
      <c r="BCO45" s="1"/>
      <c r="BCP45" s="1"/>
      <c r="BCQ45" s="1"/>
      <c r="BCR45" s="1"/>
      <c r="BCS45" s="1"/>
      <c r="BCT45" s="1"/>
      <c r="BCU45" s="1"/>
      <c r="BCV45" s="1"/>
      <c r="BCW45" s="1"/>
      <c r="BCX45" s="1"/>
      <c r="BCY45" s="1"/>
      <c r="BCZ45" s="1"/>
      <c r="BDA45" s="1"/>
      <c r="BDB45" s="1"/>
      <c r="BDC45" s="1"/>
      <c r="BDD45" s="1"/>
      <c r="BDE45" s="1"/>
      <c r="BDF45" s="1"/>
      <c r="BDG45" s="1"/>
      <c r="BDH45" s="1"/>
      <c r="BDI45" s="1"/>
      <c r="BDJ45" s="1"/>
      <c r="BDK45" s="1"/>
      <c r="BDL45" s="1"/>
      <c r="BDM45" s="1"/>
      <c r="BDN45" s="1"/>
      <c r="BDO45" s="1"/>
      <c r="BDP45" s="1"/>
      <c r="BDQ45" s="1"/>
      <c r="BDR45" s="1"/>
      <c r="BDS45" s="1"/>
      <c r="BDT45" s="1"/>
      <c r="BDU45" s="1"/>
      <c r="BDV45" s="1"/>
      <c r="BDW45" s="1"/>
      <c r="BDX45" s="1"/>
      <c r="BDY45" s="1"/>
      <c r="BDZ45" s="1"/>
      <c r="BEA45" s="1"/>
      <c r="BEB45" s="1"/>
      <c r="BEC45" s="1"/>
      <c r="BED45" s="1"/>
      <c r="BEE45" s="1"/>
      <c r="BEF45" s="1"/>
      <c r="BEG45" s="1"/>
      <c r="BEH45" s="1"/>
      <c r="BEI45" s="1"/>
      <c r="BEJ45" s="1"/>
      <c r="BEK45" s="1"/>
      <c r="BEL45" s="1"/>
      <c r="BEM45" s="1"/>
      <c r="BEN45" s="1"/>
      <c r="BEO45" s="1"/>
      <c r="BEP45" s="1"/>
      <c r="BEQ45" s="1"/>
      <c r="BER45" s="1"/>
      <c r="BES45" s="1"/>
      <c r="BET45" s="1"/>
      <c r="BEU45" s="1"/>
      <c r="BEV45" s="1"/>
      <c r="BEW45" s="1"/>
      <c r="BEX45" s="1"/>
      <c r="BEY45" s="1"/>
      <c r="BEZ45" s="1"/>
      <c r="BFA45" s="1"/>
      <c r="BFB45" s="1"/>
      <c r="BFC45" s="1"/>
      <c r="BFD45" s="1"/>
      <c r="BFE45" s="1"/>
      <c r="BFF45" s="1"/>
      <c r="BFG45" s="1"/>
      <c r="BFH45" s="1"/>
      <c r="BFI45" s="1"/>
      <c r="BFJ45" s="1"/>
      <c r="BFK45" s="1"/>
      <c r="BFL45" s="1"/>
      <c r="BFM45" s="1"/>
      <c r="BFN45" s="1"/>
      <c r="BFO45" s="1"/>
      <c r="BFP45" s="1"/>
      <c r="BFQ45" s="1"/>
      <c r="BFR45" s="1"/>
      <c r="BFS45" s="1"/>
      <c r="BFT45" s="1"/>
      <c r="BFU45" s="1"/>
      <c r="BFV45" s="1"/>
      <c r="BFW45" s="1"/>
      <c r="BFX45" s="1"/>
      <c r="BFY45" s="1"/>
      <c r="BFZ45" s="1"/>
      <c r="BGA45" s="1"/>
      <c r="BGB45" s="1"/>
      <c r="BGC45" s="1"/>
      <c r="BGD45" s="1"/>
      <c r="BGE45" s="1"/>
      <c r="BGF45" s="1"/>
      <c r="BGG45" s="1"/>
      <c r="BGH45" s="1"/>
      <c r="BGI45" s="1"/>
      <c r="BGJ45" s="1"/>
      <c r="BGK45" s="1"/>
      <c r="BGL45" s="1"/>
      <c r="BGM45" s="1"/>
      <c r="BGN45" s="1"/>
      <c r="BGO45" s="1"/>
      <c r="BGP45" s="1"/>
      <c r="BGQ45" s="1"/>
      <c r="BGR45" s="1"/>
      <c r="BGS45" s="1"/>
      <c r="BGT45" s="1"/>
      <c r="BGU45" s="1"/>
      <c r="BGV45" s="1"/>
      <c r="BGW45" s="1"/>
      <c r="BGX45" s="1"/>
      <c r="BGY45" s="1"/>
      <c r="BGZ45" s="1"/>
      <c r="BHA45" s="1"/>
      <c r="BHB45" s="1"/>
      <c r="BHC45" s="1"/>
      <c r="BHD45" s="1"/>
      <c r="BHE45" s="1"/>
      <c r="BHF45" s="1"/>
      <c r="BHG45" s="1"/>
      <c r="BHH45" s="1"/>
      <c r="BHI45" s="1"/>
      <c r="BHJ45" s="1"/>
      <c r="BHK45" s="1"/>
      <c r="BHL45" s="1"/>
      <c r="BHM45" s="1"/>
      <c r="BHN45" s="1"/>
      <c r="BHO45" s="1"/>
      <c r="BHP45" s="1"/>
      <c r="BHQ45" s="1"/>
      <c r="BHR45" s="1"/>
      <c r="BHS45" s="1"/>
      <c r="BHT45" s="1"/>
      <c r="BHU45" s="1"/>
      <c r="BHV45" s="1"/>
      <c r="BHW45" s="1"/>
      <c r="BHX45" s="1"/>
      <c r="BHY45" s="1"/>
      <c r="BHZ45" s="1"/>
      <c r="BIA45" s="1"/>
      <c r="BIB45" s="1"/>
      <c r="BIC45" s="1"/>
      <c r="BID45" s="1"/>
      <c r="BIE45" s="1"/>
      <c r="BIF45" s="1"/>
      <c r="BIG45" s="1"/>
      <c r="BIH45" s="1"/>
      <c r="BII45" s="1"/>
      <c r="BIJ45" s="1"/>
      <c r="BIK45" s="1"/>
      <c r="BIL45" s="1"/>
      <c r="BIM45" s="1"/>
      <c r="BIN45" s="1"/>
      <c r="BIO45" s="1"/>
      <c r="BIP45" s="1"/>
      <c r="BIQ45" s="1"/>
      <c r="BIR45" s="1"/>
      <c r="BIS45" s="1"/>
      <c r="BIT45" s="1"/>
      <c r="BIU45" s="1"/>
      <c r="BIV45" s="1"/>
      <c r="BIW45" s="1"/>
      <c r="BIX45" s="1"/>
      <c r="BIY45" s="1"/>
      <c r="BIZ45" s="1"/>
      <c r="BJA45" s="1"/>
      <c r="BJB45" s="1"/>
      <c r="BJC45" s="1"/>
      <c r="BJD45" s="1"/>
      <c r="BJE45" s="1"/>
      <c r="BJF45" s="1"/>
      <c r="BJG45" s="1"/>
      <c r="BJH45" s="1"/>
      <c r="BJI45" s="1"/>
      <c r="BJJ45" s="1"/>
      <c r="BJK45" s="1"/>
      <c r="BJL45" s="1"/>
      <c r="BJM45" s="1"/>
      <c r="BJN45" s="1"/>
      <c r="BJO45" s="1"/>
      <c r="BJP45" s="1"/>
      <c r="BJQ45" s="1"/>
      <c r="BJR45" s="1"/>
      <c r="BJS45" s="1"/>
      <c r="BJT45" s="1"/>
      <c r="BJU45" s="1"/>
      <c r="BJV45" s="1"/>
      <c r="BJW45" s="1"/>
      <c r="BJX45" s="1"/>
      <c r="BJY45" s="1"/>
      <c r="BJZ45" s="1"/>
      <c r="BKA45" s="1"/>
      <c r="BKB45" s="1"/>
      <c r="BKC45" s="1"/>
      <c r="BKD45" s="1"/>
      <c r="BKE45" s="1"/>
      <c r="BKF45" s="1"/>
      <c r="BKG45" s="1"/>
      <c r="BKH45" s="1"/>
      <c r="BKI45" s="1"/>
      <c r="BKJ45" s="1"/>
      <c r="BKK45" s="1"/>
      <c r="BKL45" s="1"/>
      <c r="BKM45" s="1"/>
      <c r="BKN45" s="1"/>
      <c r="BKO45" s="1"/>
      <c r="BKP45" s="1"/>
      <c r="BKQ45" s="1"/>
      <c r="BKR45" s="1"/>
      <c r="BKS45" s="1"/>
      <c r="BKT45" s="1"/>
      <c r="BKU45" s="1"/>
      <c r="BKV45" s="1"/>
      <c r="BKW45" s="1"/>
      <c r="BKX45" s="1"/>
      <c r="BKY45" s="1"/>
      <c r="BKZ45" s="1"/>
      <c r="BLA45" s="1"/>
      <c r="BLB45" s="1"/>
      <c r="BLC45" s="1"/>
      <c r="BLD45" s="1"/>
      <c r="BLE45" s="1"/>
      <c r="BLF45" s="1"/>
      <c r="BLG45" s="1"/>
      <c r="BLH45" s="1"/>
      <c r="BLI45" s="1"/>
      <c r="BLJ45" s="1"/>
      <c r="BLK45" s="1"/>
      <c r="BLL45" s="1"/>
      <c r="BLM45" s="1"/>
      <c r="BLN45" s="1"/>
      <c r="BLO45" s="1"/>
      <c r="BLP45" s="1"/>
      <c r="BLQ45" s="1"/>
      <c r="BLR45" s="1"/>
      <c r="BLS45" s="1"/>
      <c r="BLT45" s="1"/>
      <c r="BLU45" s="1"/>
      <c r="BLV45" s="1"/>
      <c r="BLW45" s="1"/>
      <c r="BLX45" s="1"/>
      <c r="BLY45" s="1"/>
      <c r="BLZ45" s="1"/>
      <c r="BMA45" s="1"/>
      <c r="BMB45" s="1"/>
      <c r="BMC45" s="1"/>
      <c r="BMD45" s="1"/>
      <c r="BME45" s="1"/>
      <c r="BMF45" s="1"/>
      <c r="BMG45" s="1"/>
      <c r="BMH45" s="1"/>
      <c r="BMI45" s="1"/>
      <c r="BMJ45" s="1"/>
      <c r="BMK45" s="1"/>
      <c r="BML45" s="1"/>
      <c r="BMM45" s="1"/>
      <c r="BMN45" s="1"/>
      <c r="BMO45" s="1"/>
      <c r="BMP45" s="1"/>
      <c r="BMQ45" s="1"/>
      <c r="BMR45" s="1"/>
      <c r="BMS45" s="1"/>
      <c r="BMT45" s="1"/>
      <c r="BMU45" s="1"/>
      <c r="BMV45" s="1"/>
      <c r="BMW45" s="1"/>
      <c r="BMX45" s="1"/>
      <c r="BMY45" s="1"/>
      <c r="BMZ45" s="1"/>
      <c r="BNA45" s="1"/>
      <c r="BNB45" s="1"/>
      <c r="BNC45" s="1"/>
      <c r="BND45" s="1"/>
      <c r="BNE45" s="1"/>
      <c r="BNF45" s="1"/>
      <c r="BNG45" s="1"/>
      <c r="BNH45" s="1"/>
      <c r="BNI45" s="1"/>
      <c r="BNJ45" s="1"/>
      <c r="BNK45" s="1"/>
      <c r="BNL45" s="1"/>
      <c r="BNM45" s="1"/>
      <c r="BNN45" s="1"/>
      <c r="BNO45" s="1"/>
      <c r="BNP45" s="1"/>
      <c r="BNQ45" s="1"/>
      <c r="BNR45" s="1"/>
      <c r="BNS45" s="1"/>
      <c r="BNT45" s="1"/>
      <c r="BNU45" s="1"/>
      <c r="BNV45" s="1"/>
      <c r="BNW45" s="1"/>
      <c r="BNX45" s="1"/>
      <c r="BNY45" s="1"/>
      <c r="BNZ45" s="1"/>
      <c r="BOA45" s="1"/>
      <c r="BOB45" s="1"/>
      <c r="BOC45" s="1"/>
      <c r="BOD45" s="1"/>
      <c r="BOE45" s="1"/>
      <c r="BOF45" s="1"/>
      <c r="BOG45" s="1"/>
      <c r="BOH45" s="1"/>
      <c r="BOI45" s="1"/>
      <c r="BOJ45" s="1"/>
      <c r="BOK45" s="1"/>
      <c r="BOL45" s="1"/>
      <c r="BOM45" s="1"/>
      <c r="BON45" s="1"/>
      <c r="BOO45" s="1"/>
      <c r="BOP45" s="1"/>
      <c r="BOQ45" s="1"/>
      <c r="BOR45" s="1"/>
      <c r="BOS45" s="1"/>
      <c r="BOT45" s="1"/>
      <c r="BOU45" s="1"/>
      <c r="BOV45" s="1"/>
      <c r="BOW45" s="1"/>
      <c r="BOX45" s="1"/>
      <c r="BOY45" s="1"/>
      <c r="BOZ45" s="1"/>
      <c r="BPA45" s="1"/>
      <c r="BPB45" s="1"/>
      <c r="BPC45" s="1"/>
      <c r="BPD45" s="1"/>
      <c r="BPE45" s="1"/>
      <c r="BPF45" s="1"/>
      <c r="BPG45" s="1"/>
      <c r="BPH45" s="1"/>
      <c r="BPI45" s="1"/>
      <c r="BPJ45" s="1"/>
      <c r="BPK45" s="1"/>
      <c r="BPL45" s="1"/>
      <c r="BPM45" s="1"/>
      <c r="BPN45" s="1"/>
      <c r="BPO45" s="1"/>
      <c r="BPP45" s="1"/>
      <c r="BPQ45" s="1"/>
      <c r="BPR45" s="1"/>
      <c r="BPS45" s="1"/>
      <c r="BPT45" s="1"/>
      <c r="BPU45" s="1"/>
      <c r="BPV45" s="1"/>
      <c r="BPW45" s="1"/>
      <c r="BPX45" s="1"/>
      <c r="BPY45" s="1"/>
      <c r="BPZ45" s="1"/>
      <c r="BQA45" s="1"/>
      <c r="BQB45" s="1"/>
      <c r="BQC45" s="1"/>
      <c r="BQD45" s="1"/>
      <c r="BQE45" s="1"/>
      <c r="BQF45" s="1"/>
      <c r="BQG45" s="1"/>
      <c r="BQH45" s="1"/>
      <c r="BQI45" s="1"/>
      <c r="BQJ45" s="1"/>
      <c r="BQK45" s="1"/>
      <c r="BQL45" s="1"/>
      <c r="BQM45" s="1"/>
      <c r="BQN45" s="1"/>
      <c r="BQO45" s="1"/>
      <c r="BQP45" s="1"/>
      <c r="BQQ45" s="1"/>
      <c r="BQR45" s="1"/>
      <c r="BQS45" s="1"/>
      <c r="BQT45" s="1"/>
      <c r="BQU45" s="1"/>
      <c r="BQV45" s="1"/>
      <c r="BQW45" s="1"/>
      <c r="BQX45" s="1"/>
      <c r="BQY45" s="1"/>
      <c r="BQZ45" s="1"/>
      <c r="BRA45" s="1"/>
      <c r="BRB45" s="1"/>
      <c r="BRC45" s="1"/>
      <c r="BRD45" s="1"/>
      <c r="BRE45" s="1"/>
      <c r="BRF45" s="1"/>
      <c r="BRG45" s="1"/>
      <c r="BRH45" s="1"/>
      <c r="BRI45" s="1"/>
      <c r="BRJ45" s="1"/>
      <c r="BRK45" s="1"/>
      <c r="BRL45" s="1"/>
      <c r="BRM45" s="1"/>
      <c r="BRN45" s="1"/>
      <c r="BRO45" s="1"/>
      <c r="BRP45" s="1"/>
      <c r="BRQ45" s="1"/>
      <c r="BRR45" s="1"/>
      <c r="BRS45" s="1"/>
      <c r="BRT45" s="1"/>
      <c r="BRU45" s="1"/>
      <c r="BRV45" s="1"/>
      <c r="BRW45" s="1"/>
      <c r="BRX45" s="1"/>
      <c r="BRY45" s="1"/>
      <c r="BRZ45" s="1"/>
      <c r="BSA45" s="1"/>
      <c r="BSB45" s="1"/>
      <c r="BSC45" s="1"/>
      <c r="BSD45" s="1"/>
      <c r="BSE45" s="1"/>
      <c r="BSF45" s="1"/>
      <c r="BSG45" s="1"/>
      <c r="BSH45" s="1"/>
      <c r="BSI45" s="1"/>
      <c r="BSJ45" s="1"/>
      <c r="BSK45" s="1"/>
      <c r="BSL45" s="1"/>
      <c r="BSM45" s="1"/>
      <c r="BSN45" s="1"/>
      <c r="BSO45" s="1"/>
      <c r="BSP45" s="1"/>
      <c r="BSQ45" s="1"/>
      <c r="BSR45" s="1"/>
      <c r="BSS45" s="1"/>
      <c r="BST45" s="1"/>
      <c r="BSU45" s="1"/>
      <c r="BSV45" s="1"/>
      <c r="BSW45" s="1"/>
      <c r="BSX45" s="1"/>
      <c r="BSY45" s="1"/>
      <c r="BSZ45" s="1"/>
      <c r="BTA45" s="1"/>
      <c r="BTB45" s="1"/>
      <c r="BTC45" s="1"/>
      <c r="BTD45" s="1"/>
      <c r="BTE45" s="1"/>
      <c r="BTF45" s="1"/>
      <c r="BTG45" s="1"/>
      <c r="BTH45" s="1"/>
      <c r="BTI45" s="1"/>
      <c r="BTJ45" s="1"/>
      <c r="BTK45" s="1"/>
      <c r="BTL45" s="1"/>
      <c r="BTM45" s="1"/>
      <c r="BTN45" s="1"/>
      <c r="BTO45" s="1"/>
      <c r="BTP45" s="1"/>
      <c r="BTQ45" s="1"/>
      <c r="BTR45" s="1"/>
      <c r="BTS45" s="1"/>
      <c r="BTT45" s="1"/>
      <c r="BTU45" s="1"/>
      <c r="BTV45" s="1"/>
      <c r="BTW45" s="1"/>
      <c r="BTX45" s="1"/>
      <c r="BTY45" s="1"/>
      <c r="BTZ45" s="1"/>
      <c r="BUA45" s="1"/>
      <c r="BUB45" s="1"/>
      <c r="BUC45" s="1"/>
      <c r="BUD45" s="1"/>
      <c r="BUE45" s="1"/>
      <c r="BUF45" s="1"/>
      <c r="BUG45" s="1"/>
      <c r="BUH45" s="1"/>
      <c r="BUI45" s="1"/>
      <c r="BUJ45" s="1"/>
      <c r="BUK45" s="1"/>
      <c r="BUL45" s="1"/>
      <c r="BUM45" s="1"/>
      <c r="BUN45" s="1"/>
      <c r="BUO45" s="1"/>
      <c r="BUP45" s="1"/>
      <c r="BUQ45" s="1"/>
      <c r="BUR45" s="1"/>
      <c r="BUS45" s="1"/>
      <c r="BUT45" s="1"/>
      <c r="BUU45" s="1"/>
      <c r="BUV45" s="1"/>
      <c r="BUW45" s="1"/>
      <c r="BUX45" s="1"/>
      <c r="BUY45" s="1"/>
      <c r="BUZ45" s="1"/>
      <c r="BVA45" s="1"/>
      <c r="BVB45" s="1"/>
      <c r="BVC45" s="1"/>
      <c r="BVD45" s="1"/>
      <c r="BVE45" s="1"/>
      <c r="BVF45" s="1"/>
      <c r="BVG45" s="1"/>
      <c r="BVH45" s="1"/>
      <c r="BVI45" s="1"/>
      <c r="BVJ45" s="1"/>
      <c r="BVK45" s="1"/>
      <c r="BVL45" s="1"/>
      <c r="BVM45" s="1"/>
      <c r="BVN45" s="1"/>
      <c r="BVO45" s="1"/>
      <c r="BVP45" s="1"/>
      <c r="BVQ45" s="1"/>
      <c r="BVR45" s="1"/>
      <c r="BVS45" s="1"/>
      <c r="BVT45" s="1"/>
      <c r="BVU45" s="1"/>
      <c r="BVV45" s="1"/>
      <c r="BVW45" s="1"/>
      <c r="BVX45" s="1"/>
      <c r="BVY45" s="1"/>
      <c r="BVZ45" s="1"/>
      <c r="BWA45" s="1"/>
      <c r="BWB45" s="1"/>
      <c r="BWC45" s="1"/>
      <c r="BWD45" s="1"/>
      <c r="BWE45" s="1"/>
      <c r="BWF45" s="1"/>
      <c r="BWG45" s="1"/>
      <c r="BWH45" s="1"/>
      <c r="BWI45" s="1"/>
      <c r="BWJ45" s="1"/>
      <c r="BWK45" s="1"/>
      <c r="BWL45" s="1"/>
      <c r="BWM45" s="1"/>
      <c r="BWN45" s="1"/>
      <c r="BWO45" s="1"/>
      <c r="BWP45" s="1"/>
      <c r="BWQ45" s="1"/>
      <c r="BWR45" s="1"/>
      <c r="BWS45" s="1"/>
      <c r="BWT45" s="1"/>
      <c r="BWU45" s="1"/>
      <c r="BWV45" s="1"/>
      <c r="BWW45" s="1"/>
      <c r="BWX45" s="1"/>
      <c r="BWY45" s="1"/>
      <c r="BWZ45" s="1"/>
      <c r="BXA45" s="1"/>
      <c r="BXB45" s="1"/>
      <c r="BXC45" s="1"/>
      <c r="BXD45" s="1"/>
      <c r="BXE45" s="1"/>
      <c r="BXF45" s="1"/>
      <c r="BXG45" s="1"/>
      <c r="BXH45" s="1"/>
      <c r="BXI45" s="1"/>
      <c r="BXJ45" s="1"/>
      <c r="BXK45" s="1"/>
      <c r="BXL45" s="1"/>
      <c r="BXM45" s="1"/>
      <c r="BXN45" s="1"/>
      <c r="BXO45" s="1"/>
      <c r="BXP45" s="1"/>
      <c r="BXQ45" s="1"/>
      <c r="BXR45" s="1"/>
      <c r="BXS45" s="1"/>
      <c r="BXT45" s="1"/>
      <c r="BXU45" s="1"/>
      <c r="BXV45" s="1"/>
      <c r="BXW45" s="1"/>
      <c r="BXX45" s="1"/>
      <c r="BXY45" s="1"/>
      <c r="BXZ45" s="1"/>
      <c r="BYA45" s="1"/>
      <c r="BYB45" s="1"/>
      <c r="BYC45" s="1"/>
      <c r="BYD45" s="1"/>
      <c r="BYE45" s="1"/>
      <c r="BYF45" s="1"/>
      <c r="BYG45" s="1"/>
      <c r="BYH45" s="1"/>
      <c r="BYI45" s="1"/>
      <c r="BYJ45" s="1"/>
      <c r="BYK45" s="1"/>
      <c r="BYL45" s="1"/>
      <c r="BYM45" s="1"/>
      <c r="BYN45" s="1"/>
      <c r="BYO45" s="1"/>
      <c r="BYP45" s="1"/>
      <c r="BYQ45" s="1"/>
      <c r="BYR45" s="1"/>
      <c r="BYS45" s="1"/>
      <c r="BYT45" s="1"/>
      <c r="BYU45" s="1"/>
      <c r="BYV45" s="1"/>
      <c r="BYW45" s="1"/>
      <c r="BYX45" s="1"/>
      <c r="BYY45" s="1"/>
      <c r="BYZ45" s="1"/>
      <c r="BZA45" s="1"/>
      <c r="BZB45" s="1"/>
      <c r="BZC45" s="1"/>
      <c r="BZD45" s="1"/>
      <c r="BZE45" s="1"/>
      <c r="BZF45" s="1"/>
      <c r="BZG45" s="1"/>
      <c r="BZH45" s="1"/>
      <c r="BZI45" s="1"/>
      <c r="BZJ45" s="1"/>
      <c r="BZK45" s="1"/>
      <c r="BZL45" s="1"/>
      <c r="BZM45" s="1"/>
      <c r="BZN45" s="1"/>
      <c r="BZO45" s="1"/>
      <c r="BZP45" s="1"/>
      <c r="BZQ45" s="1"/>
      <c r="BZR45" s="1"/>
      <c r="BZS45" s="1"/>
      <c r="BZT45" s="1"/>
      <c r="BZU45" s="1"/>
      <c r="BZV45" s="1"/>
      <c r="BZW45" s="1"/>
      <c r="BZX45" s="1"/>
      <c r="BZY45" s="1"/>
      <c r="BZZ45" s="1"/>
      <c r="CAA45" s="1"/>
      <c r="CAB45" s="1"/>
      <c r="CAC45" s="1"/>
      <c r="CAD45" s="1"/>
      <c r="CAE45" s="1"/>
      <c r="CAF45" s="1"/>
      <c r="CAG45" s="1"/>
      <c r="CAH45" s="1"/>
      <c r="CAI45" s="1"/>
      <c r="CAJ45" s="1"/>
      <c r="CAK45" s="1"/>
      <c r="CAL45" s="1"/>
      <c r="CAM45" s="1"/>
      <c r="CAN45" s="1"/>
      <c r="CAO45" s="1"/>
      <c r="CAP45" s="1"/>
      <c r="CAQ45" s="1"/>
      <c r="CAR45" s="1"/>
      <c r="CAS45" s="1"/>
      <c r="CAT45" s="1"/>
      <c r="CAU45" s="1"/>
      <c r="CAV45" s="1"/>
      <c r="CAW45" s="1"/>
      <c r="CAX45" s="1"/>
      <c r="CAY45" s="1"/>
      <c r="CAZ45" s="1"/>
      <c r="CBA45" s="1"/>
      <c r="CBB45" s="1"/>
      <c r="CBC45" s="1"/>
      <c r="CBD45" s="1"/>
      <c r="CBE45" s="1"/>
      <c r="CBF45" s="1"/>
      <c r="CBG45" s="1"/>
      <c r="CBH45" s="1"/>
      <c r="CBI45" s="1"/>
      <c r="CBJ45" s="1"/>
      <c r="CBK45" s="1"/>
      <c r="CBL45" s="1"/>
      <c r="CBM45" s="1"/>
      <c r="CBN45" s="1"/>
      <c r="CBO45" s="1"/>
      <c r="CBP45" s="1"/>
      <c r="CBQ45" s="1"/>
      <c r="CBR45" s="1"/>
      <c r="CBS45" s="1"/>
      <c r="CBT45" s="1"/>
      <c r="CBU45" s="1"/>
      <c r="CBV45" s="1"/>
      <c r="CBW45" s="1"/>
      <c r="CBX45" s="1"/>
      <c r="CBY45" s="1"/>
      <c r="CBZ45" s="1"/>
      <c r="CCA45" s="1"/>
      <c r="CCB45" s="1"/>
      <c r="CCC45" s="1"/>
      <c r="CCD45" s="1"/>
      <c r="CCE45" s="1"/>
      <c r="CCF45" s="1"/>
      <c r="CCG45" s="1"/>
      <c r="CCH45" s="1"/>
      <c r="CCI45" s="1"/>
      <c r="CCJ45" s="1"/>
      <c r="CCK45" s="1"/>
      <c r="CCL45" s="1"/>
      <c r="CCM45" s="1"/>
      <c r="CCN45" s="1"/>
      <c r="CCO45" s="1"/>
      <c r="CCP45" s="1"/>
      <c r="CCQ45" s="1"/>
      <c r="CCR45" s="1"/>
      <c r="CCS45" s="1"/>
      <c r="CCT45" s="1"/>
      <c r="CCU45" s="1"/>
      <c r="CCV45" s="1"/>
      <c r="CCW45" s="1"/>
      <c r="CCX45" s="1"/>
      <c r="CCY45" s="1"/>
      <c r="CCZ45" s="1"/>
      <c r="CDA45" s="1"/>
      <c r="CDB45" s="1"/>
      <c r="CDC45" s="1"/>
      <c r="CDD45" s="1"/>
      <c r="CDE45" s="1"/>
      <c r="CDF45" s="1"/>
      <c r="CDG45" s="1"/>
      <c r="CDH45" s="1"/>
      <c r="CDI45" s="1"/>
      <c r="CDJ45" s="1"/>
      <c r="CDK45" s="1"/>
      <c r="CDL45" s="1"/>
      <c r="CDM45" s="1"/>
      <c r="CDN45" s="1"/>
      <c r="CDO45" s="1"/>
      <c r="CDP45" s="1"/>
      <c r="CDQ45" s="1"/>
      <c r="CDR45" s="1"/>
      <c r="CDS45" s="1"/>
      <c r="CDT45" s="1"/>
      <c r="CDU45" s="1"/>
      <c r="CDV45" s="1"/>
      <c r="CDW45" s="1"/>
      <c r="CDX45" s="1"/>
      <c r="CDY45" s="1"/>
      <c r="CDZ45" s="1"/>
      <c r="CEA45" s="1"/>
      <c r="CEB45" s="1"/>
      <c r="CEC45" s="1"/>
      <c r="CED45" s="1"/>
      <c r="CEE45" s="1"/>
      <c r="CEF45" s="1"/>
      <c r="CEG45" s="1"/>
      <c r="CEH45" s="1"/>
      <c r="CEI45" s="1"/>
      <c r="CEJ45" s="1"/>
      <c r="CEK45" s="1"/>
      <c r="CEL45" s="1"/>
      <c r="CEM45" s="1"/>
      <c r="CEN45" s="1"/>
      <c r="CEO45" s="1"/>
      <c r="CEP45" s="1"/>
      <c r="CEQ45" s="1"/>
      <c r="CER45" s="1"/>
      <c r="CES45" s="1"/>
      <c r="CET45" s="1"/>
      <c r="CEU45" s="1"/>
      <c r="CEV45" s="1"/>
      <c r="CEW45" s="1"/>
      <c r="CEX45" s="1"/>
      <c r="CEY45" s="1"/>
      <c r="CEZ45" s="1"/>
      <c r="CFA45" s="1"/>
      <c r="CFB45" s="1"/>
      <c r="CFC45" s="1"/>
      <c r="CFD45" s="1"/>
      <c r="CFE45" s="1"/>
      <c r="CFF45" s="1"/>
      <c r="CFG45" s="1"/>
      <c r="CFH45" s="1"/>
      <c r="CFI45" s="1"/>
      <c r="CFJ45" s="1"/>
      <c r="CFK45" s="1"/>
      <c r="CFL45" s="1"/>
      <c r="CFM45" s="1"/>
      <c r="CFN45" s="1"/>
      <c r="CFO45" s="1"/>
      <c r="CFP45" s="1"/>
      <c r="CFQ45" s="1"/>
      <c r="CFR45" s="1"/>
      <c r="CFS45" s="1"/>
      <c r="CFT45" s="1"/>
      <c r="CFU45" s="1"/>
      <c r="CFV45" s="1"/>
      <c r="CFW45" s="1"/>
      <c r="CFX45" s="1"/>
      <c r="CFY45" s="1"/>
      <c r="CFZ45" s="1"/>
      <c r="CGA45" s="1"/>
      <c r="CGB45" s="1"/>
      <c r="CGC45" s="1"/>
      <c r="CGD45" s="1"/>
      <c r="CGE45" s="1"/>
      <c r="CGF45" s="1"/>
      <c r="CGG45" s="1"/>
      <c r="CGH45" s="1"/>
      <c r="CGI45" s="1"/>
      <c r="CGJ45" s="1"/>
      <c r="CGK45" s="1"/>
      <c r="CGL45" s="1"/>
      <c r="CGM45" s="1"/>
      <c r="CGN45" s="1"/>
      <c r="CGO45" s="1"/>
      <c r="CGP45" s="1"/>
      <c r="CGQ45" s="1"/>
      <c r="CGR45" s="1"/>
      <c r="CGS45" s="1"/>
      <c r="CGT45" s="1"/>
      <c r="CGU45" s="1"/>
      <c r="CGV45" s="1"/>
      <c r="CGW45" s="1"/>
      <c r="CGX45" s="1"/>
      <c r="CGY45" s="1"/>
      <c r="CGZ45" s="1"/>
      <c r="CHA45" s="1"/>
      <c r="CHB45" s="1"/>
      <c r="CHC45" s="1"/>
      <c r="CHD45" s="1"/>
      <c r="CHE45" s="1"/>
      <c r="CHF45" s="1"/>
      <c r="CHG45" s="1"/>
      <c r="CHH45" s="1"/>
      <c r="CHI45" s="1"/>
      <c r="CHJ45" s="1"/>
      <c r="CHK45" s="1"/>
      <c r="CHL45" s="1"/>
      <c r="CHM45" s="1"/>
      <c r="CHN45" s="1"/>
      <c r="CHO45" s="1"/>
      <c r="CHP45" s="1"/>
      <c r="CHQ45" s="1"/>
      <c r="CHR45" s="1"/>
      <c r="CHS45" s="1"/>
      <c r="CHT45" s="1"/>
      <c r="CHU45" s="1"/>
      <c r="CHV45" s="1"/>
      <c r="CHW45" s="1"/>
      <c r="CHX45" s="1"/>
      <c r="CHY45" s="1"/>
      <c r="CHZ45" s="1"/>
      <c r="CIA45" s="1"/>
      <c r="CIB45" s="1"/>
      <c r="CIC45" s="1"/>
      <c r="CID45" s="1"/>
      <c r="CIE45" s="1"/>
      <c r="CIF45" s="1"/>
      <c r="CIG45" s="1"/>
      <c r="CIH45" s="1"/>
      <c r="CII45" s="1"/>
      <c r="CIJ45" s="1"/>
      <c r="CIK45" s="1"/>
      <c r="CIL45" s="1"/>
      <c r="CIM45" s="1"/>
      <c r="CIN45" s="1"/>
      <c r="CIO45" s="1"/>
      <c r="CIP45" s="1"/>
      <c r="CIQ45" s="1"/>
      <c r="CIR45" s="1"/>
      <c r="CIS45" s="1"/>
      <c r="CIT45" s="1"/>
      <c r="CIU45" s="1"/>
      <c r="CIV45" s="1"/>
      <c r="CIW45" s="1"/>
      <c r="CIX45" s="1"/>
      <c r="CIY45" s="1"/>
      <c r="CIZ45" s="1"/>
      <c r="CJA45" s="1"/>
      <c r="CJB45" s="1"/>
      <c r="CJC45" s="1"/>
      <c r="CJD45" s="1"/>
      <c r="CJE45" s="1"/>
      <c r="CJF45" s="1"/>
      <c r="CJG45" s="1"/>
      <c r="CJH45" s="1"/>
      <c r="CJI45" s="1"/>
      <c r="CJJ45" s="1"/>
      <c r="CJK45" s="1"/>
      <c r="CJL45" s="1"/>
      <c r="CJM45" s="1"/>
      <c r="CJN45" s="1"/>
      <c r="CJO45" s="1"/>
      <c r="CJP45" s="1"/>
      <c r="CJQ45" s="1"/>
      <c r="CJR45" s="1"/>
      <c r="CJS45" s="1"/>
      <c r="CJT45" s="1"/>
      <c r="CJU45" s="1"/>
      <c r="CJV45" s="1"/>
      <c r="CJW45" s="1"/>
      <c r="CJX45" s="1"/>
      <c r="CJY45" s="1"/>
      <c r="CJZ45" s="1"/>
      <c r="CKA45" s="1"/>
      <c r="CKB45" s="1"/>
      <c r="CKC45" s="1"/>
      <c r="CKD45" s="1"/>
      <c r="CKE45" s="1"/>
      <c r="CKF45" s="1"/>
      <c r="CKG45" s="1"/>
      <c r="CKH45" s="1"/>
      <c r="CKI45" s="1"/>
      <c r="CKJ45" s="1"/>
      <c r="CKK45" s="1"/>
      <c r="CKL45" s="1"/>
      <c r="CKM45" s="1"/>
      <c r="CKN45" s="1"/>
      <c r="CKO45" s="1"/>
      <c r="CKP45" s="1"/>
      <c r="CKQ45" s="1"/>
      <c r="CKR45" s="1"/>
      <c r="CKS45" s="1"/>
      <c r="CKT45" s="1"/>
      <c r="CKU45" s="1"/>
      <c r="CKV45" s="1"/>
      <c r="CKW45" s="1"/>
      <c r="CKX45" s="1"/>
      <c r="CKY45" s="1"/>
      <c r="CKZ45" s="1"/>
      <c r="CLA45" s="1"/>
      <c r="CLB45" s="1"/>
      <c r="CLC45" s="1"/>
      <c r="CLD45" s="1"/>
      <c r="CLE45" s="1"/>
      <c r="CLF45" s="1"/>
      <c r="CLG45" s="1"/>
      <c r="CLH45" s="1"/>
      <c r="CLI45" s="1"/>
      <c r="CLJ45" s="1"/>
      <c r="CLK45" s="1"/>
      <c r="CLL45" s="1"/>
      <c r="CLM45" s="1"/>
      <c r="CLN45" s="1"/>
      <c r="CLO45" s="1"/>
      <c r="CLP45" s="1"/>
      <c r="CLQ45" s="1"/>
      <c r="CLR45" s="1"/>
      <c r="CLS45" s="1"/>
      <c r="CLT45" s="1"/>
      <c r="CLU45" s="1"/>
      <c r="CLV45" s="1"/>
      <c r="CLW45" s="1"/>
      <c r="CLX45" s="1"/>
      <c r="CLY45" s="1"/>
      <c r="CLZ45" s="1"/>
      <c r="CMA45" s="1"/>
      <c r="CMB45" s="1"/>
      <c r="CMC45" s="1"/>
      <c r="CMD45" s="1"/>
      <c r="CME45" s="1"/>
      <c r="CMF45" s="1"/>
      <c r="CMG45" s="1"/>
      <c r="CMH45" s="1"/>
      <c r="CMI45" s="1"/>
      <c r="CMJ45" s="1"/>
      <c r="CMK45" s="1"/>
      <c r="CML45" s="1"/>
      <c r="CMM45" s="1"/>
      <c r="CMN45" s="1"/>
      <c r="CMO45" s="1"/>
      <c r="CMP45" s="1"/>
      <c r="CMQ45" s="1"/>
      <c r="CMR45" s="1"/>
      <c r="CMS45" s="1"/>
      <c r="CMT45" s="1"/>
      <c r="CMU45" s="1"/>
      <c r="CMV45" s="1"/>
      <c r="CMW45" s="1"/>
      <c r="CMX45" s="1"/>
      <c r="CMY45" s="1"/>
      <c r="CMZ45" s="1"/>
      <c r="CNA45" s="1"/>
      <c r="CNB45" s="1"/>
      <c r="CNC45" s="1"/>
      <c r="CND45" s="1"/>
      <c r="CNE45" s="1"/>
      <c r="CNF45" s="1"/>
      <c r="CNG45" s="1"/>
      <c r="CNH45" s="1"/>
      <c r="CNI45" s="1"/>
      <c r="CNJ45" s="1"/>
      <c r="CNK45" s="1"/>
      <c r="CNL45" s="1"/>
      <c r="CNM45" s="1"/>
      <c r="CNN45" s="1"/>
      <c r="CNO45" s="1"/>
      <c r="CNP45" s="1"/>
      <c r="CNQ45" s="1"/>
      <c r="CNR45" s="1"/>
      <c r="CNS45" s="1"/>
      <c r="CNT45" s="1"/>
      <c r="CNU45" s="1"/>
      <c r="CNV45" s="1"/>
      <c r="CNW45" s="1"/>
      <c r="CNX45" s="1"/>
      <c r="CNY45" s="1"/>
      <c r="CNZ45" s="1"/>
      <c r="COA45" s="1"/>
      <c r="COB45" s="1"/>
      <c r="COC45" s="1"/>
      <c r="COD45" s="1"/>
      <c r="COE45" s="1"/>
      <c r="COF45" s="1"/>
      <c r="COG45" s="1"/>
      <c r="COH45" s="1"/>
      <c r="COI45" s="1"/>
      <c r="COJ45" s="1"/>
      <c r="COK45" s="1"/>
      <c r="COL45" s="1"/>
      <c r="COM45" s="1"/>
      <c r="CON45" s="1"/>
      <c r="COO45" s="1"/>
      <c r="COP45" s="1"/>
      <c r="COQ45" s="1"/>
      <c r="COR45" s="1"/>
      <c r="COS45" s="1"/>
      <c r="COT45" s="1"/>
      <c r="COU45" s="1"/>
      <c r="COV45" s="1"/>
      <c r="COW45" s="1"/>
      <c r="COX45" s="1"/>
      <c r="COY45" s="1"/>
      <c r="COZ45" s="1"/>
      <c r="CPA45" s="1"/>
      <c r="CPB45" s="1"/>
      <c r="CPC45" s="1"/>
      <c r="CPD45" s="1"/>
      <c r="CPE45" s="1"/>
      <c r="CPF45" s="1"/>
      <c r="CPG45" s="1"/>
      <c r="CPH45" s="1"/>
      <c r="CPI45" s="1"/>
      <c r="CPJ45" s="1"/>
      <c r="CPK45" s="1"/>
      <c r="CPL45" s="1"/>
      <c r="CPM45" s="1"/>
      <c r="CPN45" s="1"/>
      <c r="CPO45" s="1"/>
      <c r="CPP45" s="1"/>
      <c r="CPQ45" s="1"/>
      <c r="CPR45" s="1"/>
      <c r="CPS45" s="1"/>
      <c r="CPT45" s="1"/>
      <c r="CPU45" s="1"/>
      <c r="CPV45" s="1"/>
      <c r="CPW45" s="1"/>
      <c r="CPX45" s="1"/>
      <c r="CPY45" s="1"/>
      <c r="CPZ45" s="1"/>
      <c r="CQA45" s="1"/>
      <c r="CQB45" s="1"/>
      <c r="CQC45" s="1"/>
      <c r="CQD45" s="1"/>
      <c r="CQE45" s="1"/>
      <c r="CQF45" s="1"/>
      <c r="CQG45" s="1"/>
      <c r="CQH45" s="1"/>
      <c r="CQI45" s="1"/>
      <c r="CQJ45" s="1"/>
      <c r="CQK45" s="1"/>
      <c r="CQL45" s="1"/>
      <c r="CQM45" s="1"/>
      <c r="CQN45" s="1"/>
      <c r="CQO45" s="1"/>
      <c r="CQP45" s="1"/>
      <c r="CQQ45" s="1"/>
      <c r="CQR45" s="1"/>
      <c r="CQS45" s="1"/>
      <c r="CQT45" s="1"/>
      <c r="CQU45" s="1"/>
      <c r="CQV45" s="1"/>
      <c r="CQW45" s="1"/>
      <c r="CQX45" s="1"/>
      <c r="CQY45" s="1"/>
      <c r="CQZ45" s="1"/>
      <c r="CRA45" s="1"/>
      <c r="CRB45" s="1"/>
      <c r="CRC45" s="1"/>
      <c r="CRD45" s="1"/>
      <c r="CRE45" s="1"/>
      <c r="CRF45" s="1"/>
      <c r="CRG45" s="1"/>
      <c r="CRH45" s="1"/>
      <c r="CRI45" s="1"/>
      <c r="CRJ45" s="1"/>
      <c r="CRK45" s="1"/>
      <c r="CRL45" s="1"/>
      <c r="CRM45" s="1"/>
      <c r="CRN45" s="1"/>
      <c r="CRO45" s="1"/>
      <c r="CRP45" s="1"/>
      <c r="CRQ45" s="1"/>
      <c r="CRR45" s="1"/>
      <c r="CRS45" s="1"/>
      <c r="CRT45" s="1"/>
      <c r="CRU45" s="1"/>
      <c r="CRV45" s="1"/>
      <c r="CRW45" s="1"/>
      <c r="CRX45" s="1"/>
      <c r="CRY45" s="1"/>
      <c r="CRZ45" s="1"/>
      <c r="CSA45" s="1"/>
      <c r="CSB45" s="1"/>
      <c r="CSC45" s="1"/>
      <c r="CSD45" s="1"/>
      <c r="CSE45" s="1"/>
      <c r="CSF45" s="1"/>
      <c r="CSG45" s="1"/>
      <c r="CSH45" s="1"/>
      <c r="CSI45" s="1"/>
      <c r="CSJ45" s="1"/>
      <c r="CSK45" s="1"/>
      <c r="CSL45" s="1"/>
      <c r="CSM45" s="1"/>
      <c r="CSN45" s="1"/>
      <c r="CSO45" s="1"/>
      <c r="CSP45" s="1"/>
      <c r="CSQ45" s="1"/>
      <c r="CSR45" s="1"/>
      <c r="CSS45" s="1"/>
      <c r="CST45" s="1"/>
      <c r="CSU45" s="1"/>
      <c r="CSV45" s="1"/>
      <c r="CSW45" s="1"/>
      <c r="CSX45" s="1"/>
      <c r="CSY45" s="1"/>
      <c r="CSZ45" s="1"/>
      <c r="CTA45" s="1"/>
      <c r="CTB45" s="1"/>
      <c r="CTC45" s="1"/>
      <c r="CTD45" s="1"/>
      <c r="CTE45" s="1"/>
      <c r="CTF45" s="1"/>
      <c r="CTG45" s="1"/>
      <c r="CTH45" s="1"/>
      <c r="CTI45" s="1"/>
      <c r="CTJ45" s="1"/>
      <c r="CTK45" s="1"/>
      <c r="CTL45" s="1"/>
      <c r="CTM45" s="1"/>
      <c r="CTN45" s="1"/>
      <c r="CTO45" s="1"/>
      <c r="CTP45" s="1"/>
      <c r="CTQ45" s="1"/>
      <c r="CTR45" s="1"/>
      <c r="CTS45" s="1"/>
      <c r="CTT45" s="1"/>
      <c r="CTU45" s="1"/>
      <c r="CTV45" s="1"/>
      <c r="CTW45" s="1"/>
      <c r="CTX45" s="1"/>
      <c r="CTY45" s="1"/>
      <c r="CTZ45" s="1"/>
      <c r="CUA45" s="1"/>
      <c r="CUB45" s="1"/>
      <c r="CUC45" s="1"/>
      <c r="CUD45" s="1"/>
      <c r="CUE45" s="1"/>
      <c r="CUF45" s="1"/>
      <c r="CUG45" s="1"/>
      <c r="CUH45" s="1"/>
      <c r="CUI45" s="1"/>
      <c r="CUJ45" s="1"/>
      <c r="CUK45" s="1"/>
      <c r="CUL45" s="1"/>
      <c r="CUM45" s="1"/>
      <c r="CUN45" s="1"/>
      <c r="CUO45" s="1"/>
      <c r="CUP45" s="1"/>
      <c r="CUQ45" s="1"/>
      <c r="CUR45" s="1"/>
      <c r="CUS45" s="1"/>
      <c r="CUT45" s="1"/>
      <c r="CUU45" s="1"/>
      <c r="CUV45" s="1"/>
      <c r="CUW45" s="1"/>
      <c r="CUX45" s="1"/>
      <c r="CUY45" s="1"/>
      <c r="CUZ45" s="1"/>
      <c r="CVA45" s="1"/>
      <c r="CVB45" s="1"/>
      <c r="CVC45" s="1"/>
      <c r="CVD45" s="1"/>
      <c r="CVE45" s="1"/>
      <c r="CVF45" s="1"/>
      <c r="CVG45" s="1"/>
      <c r="CVH45" s="1"/>
      <c r="CVI45" s="1"/>
      <c r="CVJ45" s="1"/>
      <c r="CVK45" s="1"/>
      <c r="CVL45" s="1"/>
      <c r="CVM45" s="1"/>
      <c r="CVN45" s="1"/>
      <c r="CVO45" s="1"/>
      <c r="CVP45" s="1"/>
      <c r="CVQ45" s="1"/>
      <c r="CVR45" s="1"/>
      <c r="CVS45" s="1"/>
      <c r="CVT45" s="1"/>
      <c r="CVU45" s="1"/>
      <c r="CVV45" s="1"/>
      <c r="CVW45" s="1"/>
      <c r="CVX45" s="1"/>
      <c r="CVY45" s="1"/>
      <c r="CVZ45" s="1"/>
      <c r="CWA45" s="1"/>
      <c r="CWB45" s="1"/>
      <c r="CWC45" s="1"/>
      <c r="CWD45" s="1"/>
      <c r="CWE45" s="1"/>
      <c r="CWF45" s="1"/>
      <c r="CWG45" s="1"/>
      <c r="CWH45" s="1"/>
      <c r="CWI45" s="1"/>
      <c r="CWJ45" s="1"/>
      <c r="CWK45" s="1"/>
      <c r="CWL45" s="1"/>
      <c r="CWM45" s="1"/>
      <c r="CWN45" s="1"/>
      <c r="CWO45" s="1"/>
      <c r="CWP45" s="1"/>
      <c r="CWQ45" s="1"/>
      <c r="CWR45" s="1"/>
      <c r="CWS45" s="1"/>
      <c r="CWT45" s="1"/>
      <c r="CWU45" s="1"/>
      <c r="CWV45" s="1"/>
      <c r="CWW45" s="1"/>
      <c r="CWX45" s="1"/>
      <c r="CWY45" s="1"/>
      <c r="CWZ45" s="1"/>
      <c r="CXA45" s="1"/>
      <c r="CXB45" s="1"/>
      <c r="CXC45" s="1"/>
      <c r="CXD45" s="1"/>
      <c r="CXE45" s="1"/>
      <c r="CXF45" s="1"/>
      <c r="CXG45" s="1"/>
      <c r="CXH45" s="1"/>
      <c r="CXI45" s="1"/>
      <c r="CXJ45" s="1"/>
      <c r="CXK45" s="1"/>
      <c r="CXL45" s="1"/>
      <c r="CXM45" s="1"/>
      <c r="CXN45" s="1"/>
      <c r="CXO45" s="1"/>
      <c r="CXP45" s="1"/>
      <c r="CXQ45" s="1"/>
      <c r="CXR45" s="1"/>
      <c r="CXS45" s="1"/>
      <c r="CXT45" s="1"/>
      <c r="CXU45" s="1"/>
      <c r="CXV45" s="1"/>
      <c r="CXW45" s="1"/>
      <c r="CXX45" s="1"/>
      <c r="CXY45" s="1"/>
      <c r="CXZ45" s="1"/>
      <c r="CYA45" s="1"/>
      <c r="CYB45" s="1"/>
      <c r="CYC45" s="1"/>
      <c r="CYD45" s="1"/>
      <c r="CYE45" s="1"/>
      <c r="CYF45" s="1"/>
      <c r="CYG45" s="1"/>
      <c r="CYH45" s="1"/>
      <c r="CYI45" s="1"/>
      <c r="CYJ45" s="1"/>
      <c r="CYK45" s="1"/>
      <c r="CYL45" s="1"/>
      <c r="CYM45" s="1"/>
      <c r="CYN45" s="1"/>
      <c r="CYO45" s="1"/>
      <c r="CYP45" s="1"/>
      <c r="CYQ45" s="1"/>
      <c r="CYR45" s="1"/>
      <c r="CYS45" s="1"/>
      <c r="CYT45" s="1"/>
      <c r="CYU45" s="1"/>
      <c r="CYV45" s="1"/>
      <c r="CYW45" s="1"/>
      <c r="CYX45" s="1"/>
      <c r="CYY45" s="1"/>
      <c r="CYZ45" s="1"/>
      <c r="CZA45" s="1"/>
      <c r="CZB45" s="1"/>
      <c r="CZC45" s="1"/>
      <c r="CZD45" s="1"/>
      <c r="CZE45" s="1"/>
      <c r="CZF45" s="1"/>
      <c r="CZG45" s="1"/>
      <c r="CZH45" s="1"/>
      <c r="CZI45" s="1"/>
      <c r="CZJ45" s="1"/>
      <c r="CZK45" s="1"/>
      <c r="CZL45" s="1"/>
      <c r="CZM45" s="1"/>
      <c r="CZN45" s="1"/>
      <c r="CZO45" s="1"/>
      <c r="CZP45" s="1"/>
      <c r="CZQ45" s="1"/>
      <c r="CZR45" s="1"/>
      <c r="CZS45" s="1"/>
      <c r="CZT45" s="1"/>
      <c r="CZU45" s="1"/>
      <c r="CZV45" s="1"/>
      <c r="CZW45" s="1"/>
      <c r="CZX45" s="1"/>
      <c r="CZY45" s="1"/>
      <c r="CZZ45" s="1"/>
      <c r="DAA45" s="1"/>
      <c r="DAB45" s="1"/>
      <c r="DAC45" s="1"/>
      <c r="DAD45" s="1"/>
      <c r="DAE45" s="1"/>
      <c r="DAF45" s="1"/>
      <c r="DAG45" s="1"/>
      <c r="DAH45" s="1"/>
      <c r="DAI45" s="1"/>
      <c r="DAJ45" s="1"/>
      <c r="DAK45" s="1"/>
      <c r="DAL45" s="1"/>
      <c r="DAM45" s="1"/>
      <c r="DAN45" s="1"/>
      <c r="DAO45" s="1"/>
      <c r="DAP45" s="1"/>
      <c r="DAQ45" s="1"/>
      <c r="DAR45" s="1"/>
      <c r="DAS45" s="1"/>
      <c r="DAT45" s="1"/>
      <c r="DAU45" s="1"/>
      <c r="DAV45" s="1"/>
      <c r="DAW45" s="1"/>
      <c r="DAX45" s="1"/>
      <c r="DAY45" s="1"/>
      <c r="DAZ45" s="1"/>
      <c r="DBA45" s="1"/>
      <c r="DBB45" s="1"/>
      <c r="DBC45" s="1"/>
      <c r="DBD45" s="1"/>
      <c r="DBE45" s="1"/>
      <c r="DBF45" s="1"/>
      <c r="DBG45" s="1"/>
      <c r="DBH45" s="1"/>
      <c r="DBI45" s="1"/>
      <c r="DBJ45" s="1"/>
      <c r="DBK45" s="1"/>
      <c r="DBL45" s="1"/>
      <c r="DBM45" s="1"/>
      <c r="DBN45" s="1"/>
      <c r="DBO45" s="1"/>
      <c r="DBP45" s="1"/>
      <c r="DBQ45" s="1"/>
      <c r="DBR45" s="1"/>
      <c r="DBS45" s="1"/>
      <c r="DBT45" s="1"/>
      <c r="DBU45" s="1"/>
      <c r="DBV45" s="1"/>
      <c r="DBW45" s="1"/>
      <c r="DBX45" s="1"/>
      <c r="DBY45" s="1"/>
      <c r="DBZ45" s="1"/>
      <c r="DCA45" s="1"/>
      <c r="DCB45" s="1"/>
      <c r="DCC45" s="1"/>
      <c r="DCD45" s="1"/>
      <c r="DCE45" s="1"/>
      <c r="DCF45" s="1"/>
      <c r="DCG45" s="1"/>
      <c r="DCH45" s="1"/>
      <c r="DCI45" s="1"/>
      <c r="DCJ45" s="1"/>
      <c r="DCK45" s="1"/>
      <c r="DCL45" s="1"/>
      <c r="DCM45" s="1"/>
      <c r="DCN45" s="1"/>
      <c r="DCO45" s="1"/>
      <c r="DCP45" s="1"/>
      <c r="DCQ45" s="1"/>
      <c r="DCR45" s="1"/>
      <c r="DCS45" s="1"/>
      <c r="DCT45" s="1"/>
      <c r="DCU45" s="1"/>
      <c r="DCV45" s="1"/>
      <c r="DCW45" s="1"/>
      <c r="DCX45" s="1"/>
      <c r="DCY45" s="1"/>
      <c r="DCZ45" s="1"/>
      <c r="DDA45" s="1"/>
      <c r="DDB45" s="1"/>
      <c r="DDC45" s="1"/>
      <c r="DDD45" s="1"/>
      <c r="DDE45" s="1"/>
      <c r="DDF45" s="1"/>
      <c r="DDG45" s="1"/>
      <c r="DDH45" s="1"/>
      <c r="DDI45" s="1"/>
      <c r="DDJ45" s="1"/>
      <c r="DDK45" s="1"/>
      <c r="DDL45" s="1"/>
      <c r="DDM45" s="1"/>
      <c r="DDN45" s="1"/>
      <c r="DDO45" s="1"/>
      <c r="DDP45" s="1"/>
      <c r="DDQ45" s="1"/>
      <c r="DDR45" s="1"/>
      <c r="DDS45" s="1"/>
      <c r="DDT45" s="1"/>
      <c r="DDU45" s="1"/>
      <c r="DDV45" s="1"/>
      <c r="DDW45" s="1"/>
      <c r="DDX45" s="1"/>
      <c r="DDY45" s="1"/>
      <c r="DDZ45" s="1"/>
      <c r="DEA45" s="1"/>
      <c r="DEB45" s="1"/>
      <c r="DEC45" s="1"/>
      <c r="DED45" s="1"/>
      <c r="DEE45" s="1"/>
      <c r="DEF45" s="1"/>
      <c r="DEG45" s="1"/>
      <c r="DEH45" s="1"/>
      <c r="DEI45" s="1"/>
      <c r="DEJ45" s="1"/>
      <c r="DEK45" s="1"/>
      <c r="DEL45" s="1"/>
      <c r="DEM45" s="1"/>
      <c r="DEN45" s="1"/>
      <c r="DEO45" s="1"/>
      <c r="DEP45" s="1"/>
      <c r="DEQ45" s="1"/>
      <c r="DER45" s="1"/>
      <c r="DES45" s="1"/>
      <c r="DET45" s="1"/>
      <c r="DEU45" s="1"/>
      <c r="DEV45" s="1"/>
      <c r="DEW45" s="1"/>
      <c r="DEX45" s="1"/>
      <c r="DEY45" s="1"/>
      <c r="DEZ45" s="1"/>
      <c r="DFA45" s="1"/>
      <c r="DFB45" s="1"/>
      <c r="DFC45" s="1"/>
      <c r="DFD45" s="1"/>
      <c r="DFE45" s="1"/>
      <c r="DFF45" s="1"/>
      <c r="DFG45" s="1"/>
      <c r="DFH45" s="1"/>
      <c r="DFI45" s="1"/>
      <c r="DFJ45" s="1"/>
      <c r="DFK45" s="1"/>
      <c r="DFL45" s="1"/>
      <c r="DFM45" s="1"/>
      <c r="DFN45" s="1"/>
      <c r="DFO45" s="1"/>
      <c r="DFP45" s="1"/>
      <c r="DFQ45" s="1"/>
      <c r="DFR45" s="1"/>
      <c r="DFS45" s="1"/>
      <c r="DFT45" s="1"/>
      <c r="DFU45" s="1"/>
      <c r="DFV45" s="1"/>
      <c r="DFW45" s="1"/>
      <c r="DFX45" s="1"/>
      <c r="DFY45" s="1"/>
      <c r="DFZ45" s="1"/>
      <c r="DGA45" s="1"/>
      <c r="DGB45" s="1"/>
      <c r="DGC45" s="1"/>
      <c r="DGD45" s="1"/>
      <c r="DGE45" s="1"/>
      <c r="DGF45" s="1"/>
      <c r="DGG45" s="1"/>
      <c r="DGH45" s="1"/>
      <c r="DGI45" s="1"/>
      <c r="DGJ45" s="1"/>
      <c r="DGK45" s="1"/>
      <c r="DGL45" s="1"/>
      <c r="DGM45" s="1"/>
      <c r="DGN45" s="1"/>
      <c r="DGO45" s="1"/>
      <c r="DGP45" s="1"/>
      <c r="DGQ45" s="1"/>
      <c r="DGR45" s="1"/>
      <c r="DGS45" s="1"/>
      <c r="DGT45" s="1"/>
      <c r="DGU45" s="1"/>
      <c r="DGV45" s="1"/>
      <c r="DGW45" s="1"/>
      <c r="DGX45" s="1"/>
      <c r="DGY45" s="1"/>
      <c r="DGZ45" s="1"/>
      <c r="DHA45" s="1"/>
      <c r="DHB45" s="1"/>
      <c r="DHC45" s="1"/>
      <c r="DHD45" s="1"/>
      <c r="DHE45" s="1"/>
      <c r="DHF45" s="1"/>
      <c r="DHG45" s="1"/>
      <c r="DHH45" s="1"/>
      <c r="DHI45" s="1"/>
      <c r="DHJ45" s="1"/>
      <c r="DHK45" s="1"/>
      <c r="DHL45" s="1"/>
      <c r="DHM45" s="1"/>
      <c r="DHN45" s="1"/>
      <c r="DHO45" s="1"/>
      <c r="DHP45" s="1"/>
      <c r="DHQ45" s="1"/>
      <c r="DHR45" s="1"/>
      <c r="DHS45" s="1"/>
      <c r="DHT45" s="1"/>
      <c r="DHU45" s="1"/>
      <c r="DHV45" s="1"/>
      <c r="DHW45" s="1"/>
      <c r="DHX45" s="1"/>
      <c r="DHY45" s="1"/>
      <c r="DHZ45" s="1"/>
      <c r="DIA45" s="1"/>
      <c r="DIB45" s="1"/>
      <c r="DIC45" s="1"/>
      <c r="DID45" s="1"/>
      <c r="DIE45" s="1"/>
      <c r="DIF45" s="1"/>
      <c r="DIG45" s="1"/>
      <c r="DIH45" s="1"/>
      <c r="DII45" s="1"/>
      <c r="DIJ45" s="1"/>
      <c r="DIK45" s="1"/>
      <c r="DIL45" s="1"/>
      <c r="DIM45" s="1"/>
      <c r="DIN45" s="1"/>
      <c r="DIO45" s="1"/>
      <c r="DIP45" s="1"/>
      <c r="DIQ45" s="1"/>
      <c r="DIR45" s="1"/>
      <c r="DIS45" s="1"/>
      <c r="DIT45" s="1"/>
      <c r="DIU45" s="1"/>
      <c r="DIV45" s="1"/>
      <c r="DIW45" s="1"/>
      <c r="DIX45" s="1"/>
      <c r="DIY45" s="1"/>
      <c r="DIZ45" s="1"/>
      <c r="DJA45" s="1"/>
      <c r="DJB45" s="1"/>
      <c r="DJC45" s="1"/>
      <c r="DJD45" s="1"/>
      <c r="DJE45" s="1"/>
      <c r="DJF45" s="1"/>
      <c r="DJG45" s="1"/>
      <c r="DJH45" s="1"/>
      <c r="DJI45" s="1"/>
      <c r="DJJ45" s="1"/>
      <c r="DJK45" s="1"/>
      <c r="DJL45" s="1"/>
      <c r="DJM45" s="1"/>
      <c r="DJN45" s="1"/>
      <c r="DJO45" s="1"/>
      <c r="DJP45" s="1"/>
      <c r="DJQ45" s="1"/>
      <c r="DJR45" s="1"/>
      <c r="DJS45" s="1"/>
      <c r="DJT45" s="1"/>
      <c r="DJU45" s="1"/>
      <c r="DJV45" s="1"/>
      <c r="DJW45" s="1"/>
      <c r="DJX45" s="1"/>
      <c r="DJY45" s="1"/>
      <c r="DJZ45" s="1"/>
      <c r="DKA45" s="1"/>
      <c r="DKB45" s="1"/>
      <c r="DKC45" s="1"/>
      <c r="DKD45" s="1"/>
      <c r="DKE45" s="1"/>
      <c r="DKF45" s="1"/>
      <c r="DKG45" s="1"/>
      <c r="DKH45" s="1"/>
      <c r="DKI45" s="1"/>
      <c r="DKJ45" s="1"/>
      <c r="DKK45" s="1"/>
      <c r="DKL45" s="1"/>
      <c r="DKM45" s="1"/>
      <c r="DKN45" s="1"/>
      <c r="DKO45" s="1"/>
      <c r="DKP45" s="1"/>
      <c r="DKQ45" s="1"/>
      <c r="DKR45" s="1"/>
      <c r="DKS45" s="1"/>
      <c r="DKT45" s="1"/>
      <c r="DKU45" s="1"/>
      <c r="DKV45" s="1"/>
      <c r="DKW45" s="1"/>
      <c r="DKX45" s="1"/>
      <c r="DKY45" s="1"/>
      <c r="DKZ45" s="1"/>
      <c r="DLA45" s="1"/>
      <c r="DLB45" s="1"/>
      <c r="DLC45" s="1"/>
      <c r="DLD45" s="1"/>
      <c r="DLE45" s="1"/>
      <c r="DLF45" s="1"/>
      <c r="DLG45" s="1"/>
      <c r="DLH45" s="1"/>
      <c r="DLI45" s="1"/>
      <c r="DLJ45" s="1"/>
      <c r="DLK45" s="1"/>
      <c r="DLL45" s="1"/>
      <c r="DLM45" s="1"/>
      <c r="DLN45" s="1"/>
      <c r="DLO45" s="1"/>
      <c r="DLP45" s="1"/>
      <c r="DLQ45" s="1"/>
      <c r="DLR45" s="1"/>
      <c r="DLS45" s="1"/>
      <c r="DLT45" s="1"/>
      <c r="DLU45" s="1"/>
      <c r="DLV45" s="1"/>
      <c r="DLW45" s="1"/>
      <c r="DLX45" s="1"/>
      <c r="DLY45" s="1"/>
      <c r="DLZ45" s="1"/>
      <c r="DMA45" s="1"/>
      <c r="DMB45" s="1"/>
      <c r="DMC45" s="1"/>
      <c r="DMD45" s="1"/>
      <c r="DME45" s="1"/>
      <c r="DMF45" s="1"/>
      <c r="DMG45" s="1"/>
      <c r="DMH45" s="1"/>
      <c r="DMI45" s="1"/>
      <c r="DMJ45" s="1"/>
      <c r="DMK45" s="1"/>
      <c r="DML45" s="1"/>
      <c r="DMM45" s="1"/>
      <c r="DMN45" s="1"/>
      <c r="DMO45" s="1"/>
      <c r="DMP45" s="1"/>
      <c r="DMQ45" s="1"/>
      <c r="DMR45" s="1"/>
      <c r="DMS45" s="1"/>
      <c r="DMT45" s="1"/>
      <c r="DMU45" s="1"/>
      <c r="DMV45" s="1"/>
      <c r="DMW45" s="1"/>
      <c r="DMX45" s="1"/>
      <c r="DMY45" s="1"/>
      <c r="DMZ45" s="1"/>
      <c r="DNA45" s="1"/>
      <c r="DNB45" s="1"/>
      <c r="DNC45" s="1"/>
      <c r="DND45" s="1"/>
      <c r="DNE45" s="1"/>
      <c r="DNF45" s="1"/>
      <c r="DNG45" s="1"/>
      <c r="DNH45" s="1"/>
      <c r="DNI45" s="1"/>
      <c r="DNJ45" s="1"/>
      <c r="DNK45" s="1"/>
      <c r="DNL45" s="1"/>
      <c r="DNM45" s="1"/>
      <c r="DNN45" s="1"/>
      <c r="DNO45" s="1"/>
      <c r="DNP45" s="1"/>
      <c r="DNQ45" s="1"/>
      <c r="DNR45" s="1"/>
      <c r="DNS45" s="1"/>
      <c r="DNT45" s="1"/>
      <c r="DNU45" s="1"/>
      <c r="DNV45" s="1"/>
      <c r="DNW45" s="1"/>
      <c r="DNX45" s="1"/>
      <c r="DNY45" s="1"/>
      <c r="DNZ45" s="1"/>
      <c r="DOA45" s="1"/>
      <c r="DOB45" s="1"/>
      <c r="DOC45" s="1"/>
      <c r="DOD45" s="1"/>
      <c r="DOE45" s="1"/>
      <c r="DOF45" s="1"/>
      <c r="DOG45" s="1"/>
      <c r="DOH45" s="1"/>
      <c r="DOI45" s="1"/>
      <c r="DOJ45" s="1"/>
      <c r="DOK45" s="1"/>
      <c r="DOL45" s="1"/>
      <c r="DOM45" s="1"/>
      <c r="DON45" s="1"/>
      <c r="DOO45" s="1"/>
      <c r="DOP45" s="1"/>
      <c r="DOQ45" s="1"/>
      <c r="DOR45" s="1"/>
      <c r="DOS45" s="1"/>
      <c r="DOT45" s="1"/>
      <c r="DOU45" s="1"/>
      <c r="DOV45" s="1"/>
      <c r="DOW45" s="1"/>
      <c r="DOX45" s="1"/>
      <c r="DOY45" s="1"/>
      <c r="DOZ45" s="1"/>
      <c r="DPA45" s="1"/>
      <c r="DPB45" s="1"/>
      <c r="DPC45" s="1"/>
      <c r="DPD45" s="1"/>
      <c r="DPE45" s="1"/>
      <c r="DPF45" s="1"/>
      <c r="DPG45" s="1"/>
      <c r="DPH45" s="1"/>
      <c r="DPI45" s="1"/>
      <c r="DPJ45" s="1"/>
      <c r="DPK45" s="1"/>
      <c r="DPL45" s="1"/>
      <c r="DPM45" s="1"/>
      <c r="DPN45" s="1"/>
      <c r="DPO45" s="1"/>
      <c r="DPP45" s="1"/>
      <c r="DPQ45" s="1"/>
      <c r="DPR45" s="1"/>
      <c r="DPS45" s="1"/>
      <c r="DPT45" s="1"/>
      <c r="DPU45" s="1"/>
      <c r="DPV45" s="1"/>
      <c r="DPW45" s="1"/>
      <c r="DPX45" s="1"/>
      <c r="DPY45" s="1"/>
      <c r="DPZ45" s="1"/>
      <c r="DQA45" s="1"/>
      <c r="DQB45" s="1"/>
      <c r="DQC45" s="1"/>
      <c r="DQD45" s="1"/>
      <c r="DQE45" s="1"/>
      <c r="DQF45" s="1"/>
      <c r="DQG45" s="1"/>
      <c r="DQH45" s="1"/>
      <c r="DQI45" s="1"/>
      <c r="DQJ45" s="1"/>
      <c r="DQK45" s="1"/>
      <c r="DQL45" s="1"/>
      <c r="DQM45" s="1"/>
      <c r="DQN45" s="1"/>
      <c r="DQO45" s="1"/>
      <c r="DQP45" s="1"/>
      <c r="DQQ45" s="1"/>
      <c r="DQR45" s="1"/>
      <c r="DQS45" s="1"/>
      <c r="DQT45" s="1"/>
      <c r="DQU45" s="1"/>
      <c r="DQV45" s="1"/>
      <c r="DQW45" s="1"/>
      <c r="DQX45" s="1"/>
      <c r="DQY45" s="1"/>
      <c r="DQZ45" s="1"/>
      <c r="DRA45" s="1"/>
      <c r="DRB45" s="1"/>
      <c r="DRC45" s="1"/>
      <c r="DRD45" s="1"/>
      <c r="DRE45" s="1"/>
      <c r="DRF45" s="1"/>
      <c r="DRG45" s="1"/>
      <c r="DRH45" s="1"/>
      <c r="DRI45" s="1"/>
      <c r="DRJ45" s="1"/>
      <c r="DRK45" s="1"/>
      <c r="DRL45" s="1"/>
      <c r="DRM45" s="1"/>
      <c r="DRN45" s="1"/>
      <c r="DRO45" s="1"/>
      <c r="DRP45" s="1"/>
      <c r="DRQ45" s="1"/>
      <c r="DRR45" s="1"/>
      <c r="DRS45" s="1"/>
      <c r="DRT45" s="1"/>
      <c r="DRU45" s="1"/>
      <c r="DRV45" s="1"/>
      <c r="DRW45" s="1"/>
      <c r="DRX45" s="1"/>
      <c r="DRY45" s="1"/>
      <c r="DRZ45" s="1"/>
      <c r="DSA45" s="1"/>
      <c r="DSB45" s="1"/>
      <c r="DSC45" s="1"/>
      <c r="DSD45" s="1"/>
      <c r="DSE45" s="1"/>
      <c r="DSF45" s="1"/>
      <c r="DSG45" s="1"/>
      <c r="DSH45" s="1"/>
      <c r="DSI45" s="1"/>
      <c r="DSJ45" s="1"/>
      <c r="DSK45" s="1"/>
      <c r="DSL45" s="1"/>
      <c r="DSM45" s="1"/>
      <c r="DSN45" s="1"/>
      <c r="DSO45" s="1"/>
      <c r="DSP45" s="1"/>
      <c r="DSQ45" s="1"/>
      <c r="DSR45" s="1"/>
      <c r="DSS45" s="1"/>
      <c r="DST45" s="1"/>
      <c r="DSU45" s="1"/>
      <c r="DSV45" s="1"/>
      <c r="DSW45" s="1"/>
      <c r="DSX45" s="1"/>
      <c r="DSY45" s="1"/>
      <c r="DSZ45" s="1"/>
      <c r="DTA45" s="1"/>
      <c r="DTB45" s="1"/>
      <c r="DTC45" s="1"/>
      <c r="DTD45" s="1"/>
      <c r="DTE45" s="1"/>
      <c r="DTF45" s="1"/>
      <c r="DTG45" s="1"/>
      <c r="DTH45" s="1"/>
      <c r="DTI45" s="1"/>
      <c r="DTJ45" s="1"/>
      <c r="DTK45" s="1"/>
      <c r="DTL45" s="1"/>
      <c r="DTM45" s="1"/>
      <c r="DTN45" s="1"/>
      <c r="DTO45" s="1"/>
      <c r="DTP45" s="1"/>
      <c r="DTQ45" s="1"/>
      <c r="DTR45" s="1"/>
      <c r="DTS45" s="1"/>
      <c r="DTT45" s="1"/>
      <c r="DTU45" s="1"/>
      <c r="DTV45" s="1"/>
      <c r="DTW45" s="1"/>
      <c r="DTX45" s="1"/>
      <c r="DTY45" s="1"/>
      <c r="DTZ45" s="1"/>
      <c r="DUA45" s="1"/>
      <c r="DUB45" s="1"/>
      <c r="DUC45" s="1"/>
      <c r="DUD45" s="1"/>
      <c r="DUE45" s="1"/>
      <c r="DUF45" s="1"/>
      <c r="DUG45" s="1"/>
      <c r="DUH45" s="1"/>
      <c r="DUI45" s="1"/>
      <c r="DUJ45" s="1"/>
      <c r="DUK45" s="1"/>
      <c r="DUL45" s="1"/>
      <c r="DUM45" s="1"/>
      <c r="DUN45" s="1"/>
      <c r="DUO45" s="1"/>
      <c r="DUP45" s="1"/>
      <c r="DUQ45" s="1"/>
      <c r="DUR45" s="1"/>
      <c r="DUS45" s="1"/>
      <c r="DUT45" s="1"/>
      <c r="DUU45" s="1"/>
      <c r="DUV45" s="1"/>
      <c r="DUW45" s="1"/>
      <c r="DUX45" s="1"/>
      <c r="DUY45" s="1"/>
      <c r="DUZ45" s="1"/>
      <c r="DVA45" s="1"/>
      <c r="DVB45" s="1"/>
      <c r="DVC45" s="1"/>
      <c r="DVD45" s="1"/>
      <c r="DVE45" s="1"/>
      <c r="DVF45" s="1"/>
      <c r="DVG45" s="1"/>
      <c r="DVH45" s="1"/>
      <c r="DVI45" s="1"/>
      <c r="DVJ45" s="1"/>
      <c r="DVK45" s="1"/>
      <c r="DVL45" s="1"/>
      <c r="DVM45" s="1"/>
      <c r="DVN45" s="1"/>
      <c r="DVO45" s="1"/>
      <c r="DVP45" s="1"/>
      <c r="DVQ45" s="1"/>
      <c r="DVR45" s="1"/>
      <c r="DVS45" s="1"/>
      <c r="DVT45" s="1"/>
      <c r="DVU45" s="1"/>
      <c r="DVV45" s="1"/>
      <c r="DVW45" s="1"/>
      <c r="DVX45" s="1"/>
      <c r="DVY45" s="1"/>
      <c r="DVZ45" s="1"/>
      <c r="DWA45" s="1"/>
      <c r="DWB45" s="1"/>
      <c r="DWC45" s="1"/>
      <c r="DWD45" s="1"/>
      <c r="DWE45" s="1"/>
      <c r="DWF45" s="1"/>
      <c r="DWG45" s="1"/>
      <c r="DWH45" s="1"/>
      <c r="DWI45" s="1"/>
      <c r="DWJ45" s="1"/>
      <c r="DWK45" s="1"/>
      <c r="DWL45" s="1"/>
      <c r="DWM45" s="1"/>
      <c r="DWN45" s="1"/>
      <c r="DWO45" s="1"/>
      <c r="DWP45" s="1"/>
      <c r="DWQ45" s="1"/>
      <c r="DWR45" s="1"/>
      <c r="DWS45" s="1"/>
      <c r="DWT45" s="1"/>
      <c r="DWU45" s="1"/>
      <c r="DWV45" s="1"/>
      <c r="DWW45" s="1"/>
      <c r="DWX45" s="1"/>
      <c r="DWY45" s="1"/>
      <c r="DWZ45" s="1"/>
      <c r="DXA45" s="1"/>
      <c r="DXB45" s="1"/>
      <c r="DXC45" s="1"/>
      <c r="DXD45" s="1"/>
      <c r="DXE45" s="1"/>
      <c r="DXF45" s="1"/>
      <c r="DXG45" s="1"/>
      <c r="DXH45" s="1"/>
      <c r="DXI45" s="1"/>
      <c r="DXJ45" s="1"/>
      <c r="DXK45" s="1"/>
      <c r="DXL45" s="1"/>
      <c r="DXM45" s="1"/>
      <c r="DXN45" s="1"/>
      <c r="DXO45" s="1"/>
      <c r="DXP45" s="1"/>
      <c r="DXQ45" s="1"/>
      <c r="DXR45" s="1"/>
      <c r="DXS45" s="1"/>
      <c r="DXT45" s="1"/>
      <c r="DXU45" s="1"/>
      <c r="DXV45" s="1"/>
      <c r="DXW45" s="1"/>
      <c r="DXX45" s="1"/>
      <c r="DXY45" s="1"/>
      <c r="DXZ45" s="1"/>
      <c r="DYA45" s="1"/>
      <c r="DYB45" s="1"/>
      <c r="DYC45" s="1"/>
      <c r="DYD45" s="1"/>
      <c r="DYE45" s="1"/>
      <c r="DYF45" s="1"/>
      <c r="DYG45" s="1"/>
      <c r="DYH45" s="1"/>
      <c r="DYI45" s="1"/>
      <c r="DYJ45" s="1"/>
      <c r="DYK45" s="1"/>
      <c r="DYL45" s="1"/>
      <c r="DYM45" s="1"/>
      <c r="DYN45" s="1"/>
      <c r="DYO45" s="1"/>
      <c r="DYP45" s="1"/>
      <c r="DYQ45" s="1"/>
      <c r="DYR45" s="1"/>
      <c r="DYS45" s="1"/>
      <c r="DYT45" s="1"/>
      <c r="DYU45" s="1"/>
      <c r="DYV45" s="1"/>
      <c r="DYW45" s="1"/>
      <c r="DYX45" s="1"/>
      <c r="DYY45" s="1"/>
      <c r="DYZ45" s="1"/>
      <c r="DZA45" s="1"/>
      <c r="DZB45" s="1"/>
      <c r="DZC45" s="1"/>
      <c r="DZD45" s="1"/>
      <c r="DZE45" s="1"/>
      <c r="DZF45" s="1"/>
      <c r="DZG45" s="1"/>
      <c r="DZH45" s="1"/>
      <c r="DZI45" s="1"/>
      <c r="DZJ45" s="1"/>
      <c r="DZK45" s="1"/>
      <c r="DZL45" s="1"/>
      <c r="DZM45" s="1"/>
      <c r="DZN45" s="1"/>
      <c r="DZO45" s="1"/>
      <c r="DZP45" s="1"/>
      <c r="DZQ45" s="1"/>
      <c r="DZR45" s="1"/>
      <c r="DZS45" s="1"/>
      <c r="DZT45" s="1"/>
      <c r="DZU45" s="1"/>
      <c r="DZV45" s="1"/>
      <c r="DZW45" s="1"/>
      <c r="DZX45" s="1"/>
      <c r="DZY45" s="1"/>
      <c r="DZZ45" s="1"/>
      <c r="EAA45" s="1"/>
      <c r="EAB45" s="1"/>
      <c r="EAC45" s="1"/>
      <c r="EAD45" s="1"/>
      <c r="EAE45" s="1"/>
      <c r="EAF45" s="1"/>
      <c r="EAG45" s="1"/>
      <c r="EAH45" s="1"/>
      <c r="EAI45" s="1"/>
      <c r="EAJ45" s="1"/>
      <c r="EAK45" s="1"/>
      <c r="EAL45" s="1"/>
      <c r="EAM45" s="1"/>
      <c r="EAN45" s="1"/>
      <c r="EAO45" s="1"/>
      <c r="EAP45" s="1"/>
      <c r="EAQ45" s="1"/>
      <c r="EAR45" s="1"/>
      <c r="EAS45" s="1"/>
      <c r="EAT45" s="1"/>
      <c r="EAU45" s="1"/>
      <c r="EAV45" s="1"/>
      <c r="EAW45" s="1"/>
      <c r="EAX45" s="1"/>
      <c r="EAY45" s="1"/>
      <c r="EAZ45" s="1"/>
      <c r="EBA45" s="1"/>
      <c r="EBB45" s="1"/>
      <c r="EBC45" s="1"/>
      <c r="EBD45" s="1"/>
      <c r="EBE45" s="1"/>
      <c r="EBF45" s="1"/>
      <c r="EBG45" s="1"/>
      <c r="EBH45" s="1"/>
      <c r="EBI45" s="1"/>
      <c r="EBJ45" s="1"/>
      <c r="EBK45" s="1"/>
      <c r="EBL45" s="1"/>
      <c r="EBM45" s="1"/>
      <c r="EBN45" s="1"/>
      <c r="EBO45" s="1"/>
      <c r="EBP45" s="1"/>
      <c r="EBQ45" s="1"/>
      <c r="EBR45" s="1"/>
      <c r="EBS45" s="1"/>
      <c r="EBT45" s="1"/>
      <c r="EBU45" s="1"/>
      <c r="EBV45" s="1"/>
      <c r="EBW45" s="1"/>
      <c r="EBX45" s="1"/>
      <c r="EBY45" s="1"/>
      <c r="EBZ45" s="1"/>
      <c r="ECA45" s="1"/>
      <c r="ECB45" s="1"/>
      <c r="ECC45" s="1"/>
      <c r="ECD45" s="1"/>
      <c r="ECE45" s="1"/>
      <c r="ECF45" s="1"/>
      <c r="ECG45" s="1"/>
      <c r="ECH45" s="1"/>
      <c r="ECI45" s="1"/>
      <c r="ECJ45" s="1"/>
      <c r="ECK45" s="1"/>
      <c r="ECL45" s="1"/>
      <c r="ECM45" s="1"/>
      <c r="ECN45" s="1"/>
      <c r="ECO45" s="1"/>
      <c r="ECP45" s="1"/>
      <c r="ECQ45" s="1"/>
      <c r="ECR45" s="1"/>
      <c r="ECS45" s="1"/>
      <c r="ECT45" s="1"/>
      <c r="ECU45" s="1"/>
      <c r="ECV45" s="1"/>
      <c r="ECW45" s="1"/>
      <c r="ECX45" s="1"/>
      <c r="ECY45" s="1"/>
      <c r="ECZ45" s="1"/>
      <c r="EDA45" s="1"/>
      <c r="EDB45" s="1"/>
      <c r="EDC45" s="1"/>
      <c r="EDD45" s="1"/>
      <c r="EDE45" s="1"/>
      <c r="EDF45" s="1"/>
      <c r="EDG45" s="1"/>
      <c r="EDH45" s="1"/>
      <c r="EDI45" s="1"/>
      <c r="EDJ45" s="1"/>
      <c r="EDK45" s="1"/>
      <c r="EDL45" s="1"/>
      <c r="EDM45" s="1"/>
      <c r="EDN45" s="1"/>
      <c r="EDO45" s="1"/>
      <c r="EDP45" s="1"/>
      <c r="EDQ45" s="1"/>
      <c r="EDR45" s="1"/>
      <c r="EDS45" s="1"/>
      <c r="EDT45" s="1"/>
      <c r="EDU45" s="1"/>
      <c r="EDV45" s="1"/>
      <c r="EDW45" s="1"/>
      <c r="EDX45" s="1"/>
      <c r="EDY45" s="1"/>
      <c r="EDZ45" s="1"/>
      <c r="EEA45" s="1"/>
      <c r="EEB45" s="1"/>
      <c r="EEC45" s="1"/>
      <c r="EED45" s="1"/>
      <c r="EEE45" s="1"/>
      <c r="EEF45" s="1"/>
      <c r="EEG45" s="1"/>
      <c r="EEH45" s="1"/>
      <c r="EEI45" s="1"/>
      <c r="EEJ45" s="1"/>
      <c r="EEK45" s="1"/>
      <c r="EEL45" s="1"/>
      <c r="EEM45" s="1"/>
      <c r="EEN45" s="1"/>
      <c r="EEO45" s="1"/>
      <c r="EEP45" s="1"/>
      <c r="EEQ45" s="1"/>
      <c r="EER45" s="1"/>
      <c r="EES45" s="1"/>
      <c r="EET45" s="1"/>
      <c r="EEU45" s="1"/>
      <c r="EEV45" s="1"/>
      <c r="EEW45" s="1"/>
      <c r="EEX45" s="1"/>
      <c r="EEY45" s="1"/>
      <c r="EEZ45" s="1"/>
      <c r="EFA45" s="1"/>
      <c r="EFB45" s="1"/>
      <c r="EFC45" s="1"/>
      <c r="EFD45" s="1"/>
      <c r="EFE45" s="1"/>
      <c r="EFF45" s="1"/>
      <c r="EFG45" s="1"/>
      <c r="EFH45" s="1"/>
      <c r="EFI45" s="1"/>
      <c r="EFJ45" s="1"/>
      <c r="EFK45" s="1"/>
      <c r="EFL45" s="1"/>
      <c r="EFM45" s="1"/>
      <c r="EFN45" s="1"/>
      <c r="EFO45" s="1"/>
      <c r="EFP45" s="1"/>
      <c r="EFQ45" s="1"/>
      <c r="EFR45" s="1"/>
      <c r="EFS45" s="1"/>
      <c r="EFT45" s="1"/>
      <c r="EFU45" s="1"/>
      <c r="EFV45" s="1"/>
      <c r="EFW45" s="1"/>
      <c r="EFX45" s="1"/>
      <c r="EFY45" s="1"/>
      <c r="EFZ45" s="1"/>
      <c r="EGA45" s="1"/>
      <c r="EGB45" s="1"/>
      <c r="EGC45" s="1"/>
      <c r="EGD45" s="1"/>
      <c r="EGE45" s="1"/>
      <c r="EGF45" s="1"/>
      <c r="EGG45" s="1"/>
      <c r="EGH45" s="1"/>
      <c r="EGI45" s="1"/>
      <c r="EGJ45" s="1"/>
      <c r="EGK45" s="1"/>
      <c r="EGL45" s="1"/>
      <c r="EGM45" s="1"/>
      <c r="EGN45" s="1"/>
      <c r="EGO45" s="1"/>
      <c r="EGP45" s="1"/>
      <c r="EGQ45" s="1"/>
      <c r="EGR45" s="1"/>
      <c r="EGS45" s="1"/>
      <c r="EGT45" s="1"/>
      <c r="EGU45" s="1"/>
      <c r="EGV45" s="1"/>
      <c r="EGW45" s="1"/>
      <c r="EGX45" s="1"/>
      <c r="EGY45" s="1"/>
      <c r="EGZ45" s="1"/>
      <c r="EHA45" s="1"/>
      <c r="EHB45" s="1"/>
      <c r="EHC45" s="1"/>
      <c r="EHD45" s="1"/>
      <c r="EHE45" s="1"/>
      <c r="EHF45" s="1"/>
      <c r="EHG45" s="1"/>
      <c r="EHH45" s="1"/>
      <c r="EHI45" s="1"/>
      <c r="EHJ45" s="1"/>
      <c r="EHK45" s="1"/>
      <c r="EHL45" s="1"/>
      <c r="EHM45" s="1"/>
      <c r="EHN45" s="1"/>
      <c r="EHO45" s="1"/>
      <c r="EHP45" s="1"/>
      <c r="EHQ45" s="1"/>
      <c r="EHR45" s="1"/>
      <c r="EHS45" s="1"/>
      <c r="EHT45" s="1"/>
      <c r="EHU45" s="1"/>
      <c r="EHV45" s="1"/>
      <c r="EHW45" s="1"/>
      <c r="EHX45" s="1"/>
      <c r="EHY45" s="1"/>
      <c r="EHZ45" s="1"/>
      <c r="EIA45" s="1"/>
      <c r="EIB45" s="1"/>
      <c r="EIC45" s="1"/>
      <c r="EID45" s="1"/>
      <c r="EIE45" s="1"/>
      <c r="EIF45" s="1"/>
      <c r="EIG45" s="1"/>
      <c r="EIH45" s="1"/>
      <c r="EII45" s="1"/>
      <c r="EIJ45" s="1"/>
      <c r="EIK45" s="1"/>
      <c r="EIL45" s="1"/>
      <c r="EIM45" s="1"/>
      <c r="EIN45" s="1"/>
      <c r="EIO45" s="1"/>
      <c r="EIP45" s="1"/>
      <c r="EIQ45" s="1"/>
      <c r="EIR45" s="1"/>
      <c r="EIS45" s="1"/>
      <c r="EIT45" s="1"/>
      <c r="EIU45" s="1"/>
      <c r="EIV45" s="1"/>
      <c r="EIW45" s="1"/>
      <c r="EIX45" s="1"/>
      <c r="EIY45" s="1"/>
      <c r="EIZ45" s="1"/>
      <c r="EJA45" s="1"/>
      <c r="EJB45" s="1"/>
      <c r="EJC45" s="1"/>
      <c r="EJD45" s="1"/>
      <c r="EJE45" s="1"/>
      <c r="EJF45" s="1"/>
      <c r="EJG45" s="1"/>
      <c r="EJH45" s="1"/>
      <c r="EJI45" s="1"/>
      <c r="EJJ45" s="1"/>
      <c r="EJK45" s="1"/>
      <c r="EJL45" s="1"/>
      <c r="EJM45" s="1"/>
      <c r="EJN45" s="1"/>
      <c r="EJO45" s="1"/>
      <c r="EJP45" s="1"/>
      <c r="EJQ45" s="1"/>
      <c r="EJR45" s="1"/>
      <c r="EJS45" s="1"/>
      <c r="EJT45" s="1"/>
      <c r="EJU45" s="1"/>
      <c r="EJV45" s="1"/>
      <c r="EJW45" s="1"/>
      <c r="EJX45" s="1"/>
      <c r="EJY45" s="1"/>
      <c r="EJZ45" s="1"/>
      <c r="EKA45" s="1"/>
      <c r="EKB45" s="1"/>
      <c r="EKC45" s="1"/>
      <c r="EKD45" s="1"/>
      <c r="EKE45" s="1"/>
      <c r="EKF45" s="1"/>
      <c r="EKG45" s="1"/>
      <c r="EKH45" s="1"/>
      <c r="EKI45" s="1"/>
      <c r="EKJ45" s="1"/>
      <c r="EKK45" s="1"/>
      <c r="EKL45" s="1"/>
      <c r="EKM45" s="1"/>
      <c r="EKN45" s="1"/>
      <c r="EKO45" s="1"/>
      <c r="EKP45" s="1"/>
      <c r="EKQ45" s="1"/>
      <c r="EKR45" s="1"/>
      <c r="EKS45" s="1"/>
      <c r="EKT45" s="1"/>
      <c r="EKU45" s="1"/>
      <c r="EKV45" s="1"/>
      <c r="EKW45" s="1"/>
      <c r="EKX45" s="1"/>
      <c r="EKY45" s="1"/>
      <c r="EKZ45" s="1"/>
      <c r="ELA45" s="1"/>
      <c r="ELB45" s="1"/>
      <c r="ELC45" s="1"/>
      <c r="ELD45" s="1"/>
      <c r="ELE45" s="1"/>
      <c r="ELF45" s="1"/>
      <c r="ELG45" s="1"/>
      <c r="ELH45" s="1"/>
      <c r="ELI45" s="1"/>
      <c r="ELJ45" s="1"/>
      <c r="ELK45" s="1"/>
      <c r="ELL45" s="1"/>
      <c r="ELM45" s="1"/>
      <c r="ELN45" s="1"/>
      <c r="ELO45" s="1"/>
      <c r="ELP45" s="1"/>
      <c r="ELQ45" s="1"/>
      <c r="ELR45" s="1"/>
      <c r="ELS45" s="1"/>
      <c r="ELT45" s="1"/>
      <c r="ELU45" s="1"/>
      <c r="ELV45" s="1"/>
      <c r="ELW45" s="1"/>
      <c r="ELX45" s="1"/>
      <c r="ELY45" s="1"/>
      <c r="ELZ45" s="1"/>
      <c r="EMA45" s="1"/>
      <c r="EMB45" s="1"/>
      <c r="EMC45" s="1"/>
      <c r="EMD45" s="1"/>
      <c r="EME45" s="1"/>
      <c r="EMF45" s="1"/>
      <c r="EMG45" s="1"/>
      <c r="EMH45" s="1"/>
      <c r="EMI45" s="1"/>
      <c r="EMJ45" s="1"/>
      <c r="EMK45" s="1"/>
      <c r="EML45" s="1"/>
      <c r="EMM45" s="1"/>
      <c r="EMN45" s="1"/>
      <c r="EMO45" s="1"/>
      <c r="EMP45" s="1"/>
      <c r="EMQ45" s="1"/>
      <c r="EMR45" s="1"/>
      <c r="EMS45" s="1"/>
      <c r="EMT45" s="1"/>
      <c r="EMU45" s="1"/>
      <c r="EMV45" s="1"/>
      <c r="EMW45" s="1"/>
      <c r="EMX45" s="1"/>
      <c r="EMY45" s="1"/>
      <c r="EMZ45" s="1"/>
      <c r="ENA45" s="1"/>
      <c r="ENB45" s="1"/>
      <c r="ENC45" s="1"/>
      <c r="END45" s="1"/>
      <c r="ENE45" s="1"/>
      <c r="ENF45" s="1"/>
      <c r="ENG45" s="1"/>
      <c r="ENH45" s="1"/>
      <c r="ENI45" s="1"/>
      <c r="ENJ45" s="1"/>
      <c r="ENK45" s="1"/>
      <c r="ENL45" s="1"/>
      <c r="ENM45" s="1"/>
      <c r="ENN45" s="1"/>
      <c r="ENO45" s="1"/>
      <c r="ENP45" s="1"/>
      <c r="ENQ45" s="1"/>
      <c r="ENR45" s="1"/>
      <c r="ENS45" s="1"/>
      <c r="ENT45" s="1"/>
      <c r="ENU45" s="1"/>
      <c r="ENV45" s="1"/>
      <c r="ENW45" s="1"/>
      <c r="ENX45" s="1"/>
      <c r="ENY45" s="1"/>
      <c r="ENZ45" s="1"/>
      <c r="EOA45" s="1"/>
      <c r="EOB45" s="1"/>
      <c r="EOC45" s="1"/>
      <c r="EOD45" s="1"/>
      <c r="EOE45" s="1"/>
      <c r="EOF45" s="1"/>
      <c r="EOG45" s="1"/>
      <c r="EOH45" s="1"/>
      <c r="EOI45" s="1"/>
      <c r="EOJ45" s="1"/>
      <c r="EOK45" s="1"/>
      <c r="EOL45" s="1"/>
      <c r="EOM45" s="1"/>
      <c r="EON45" s="1"/>
      <c r="EOO45" s="1"/>
      <c r="EOP45" s="1"/>
      <c r="EOQ45" s="1"/>
      <c r="EOR45" s="1"/>
      <c r="EOS45" s="1"/>
      <c r="EOT45" s="1"/>
      <c r="EOU45" s="1"/>
      <c r="EOV45" s="1"/>
      <c r="EOW45" s="1"/>
      <c r="EOX45" s="1"/>
      <c r="EOY45" s="1"/>
      <c r="EOZ45" s="1"/>
      <c r="EPA45" s="1"/>
      <c r="EPB45" s="1"/>
      <c r="EPC45" s="1"/>
      <c r="EPD45" s="1"/>
      <c r="EPE45" s="1"/>
      <c r="EPF45" s="1"/>
      <c r="EPG45" s="1"/>
      <c r="EPH45" s="1"/>
      <c r="EPI45" s="1"/>
      <c r="EPJ45" s="1"/>
      <c r="EPK45" s="1"/>
      <c r="EPL45" s="1"/>
      <c r="EPM45" s="1"/>
      <c r="EPN45" s="1"/>
      <c r="EPO45" s="1"/>
      <c r="EPP45" s="1"/>
      <c r="EPQ45" s="1"/>
      <c r="EPR45" s="1"/>
      <c r="EPS45" s="1"/>
      <c r="EPT45" s="1"/>
      <c r="EPU45" s="1"/>
      <c r="EPV45" s="1"/>
      <c r="EPW45" s="1"/>
      <c r="EPX45" s="1"/>
      <c r="EPY45" s="1"/>
      <c r="EPZ45" s="1"/>
      <c r="EQA45" s="1"/>
      <c r="EQB45" s="1"/>
      <c r="EQC45" s="1"/>
      <c r="EQD45" s="1"/>
      <c r="EQE45" s="1"/>
      <c r="EQF45" s="1"/>
      <c r="EQG45" s="1"/>
      <c r="EQH45" s="1"/>
      <c r="EQI45" s="1"/>
      <c r="EQJ45" s="1"/>
      <c r="EQK45" s="1"/>
      <c r="EQL45" s="1"/>
      <c r="EQM45" s="1"/>
      <c r="EQN45" s="1"/>
      <c r="EQO45" s="1"/>
      <c r="EQP45" s="1"/>
      <c r="EQQ45" s="1"/>
      <c r="EQR45" s="1"/>
      <c r="EQS45" s="1"/>
      <c r="EQT45" s="1"/>
      <c r="EQU45" s="1"/>
      <c r="EQV45" s="1"/>
      <c r="EQW45" s="1"/>
      <c r="EQX45" s="1"/>
      <c r="EQY45" s="1"/>
      <c r="EQZ45" s="1"/>
      <c r="ERA45" s="1"/>
      <c r="ERB45" s="1"/>
      <c r="ERC45" s="1"/>
      <c r="ERD45" s="1"/>
      <c r="ERE45" s="1"/>
      <c r="ERF45" s="1"/>
      <c r="ERG45" s="1"/>
      <c r="ERH45" s="1"/>
      <c r="ERI45" s="1"/>
      <c r="ERJ45" s="1"/>
      <c r="ERK45" s="1"/>
      <c r="ERL45" s="1"/>
      <c r="ERM45" s="1"/>
      <c r="ERN45" s="1"/>
      <c r="ERO45" s="1"/>
      <c r="ERP45" s="1"/>
      <c r="ERQ45" s="1"/>
      <c r="ERR45" s="1"/>
      <c r="ERS45" s="1"/>
      <c r="ERT45" s="1"/>
      <c r="ERU45" s="1"/>
      <c r="ERV45" s="1"/>
      <c r="ERW45" s="1"/>
      <c r="ERX45" s="1"/>
      <c r="ERY45" s="1"/>
      <c r="ERZ45" s="1"/>
      <c r="ESA45" s="1"/>
      <c r="ESB45" s="1"/>
      <c r="ESC45" s="1"/>
      <c r="ESD45" s="1"/>
      <c r="ESE45" s="1"/>
      <c r="ESF45" s="1"/>
      <c r="ESG45" s="1"/>
      <c r="ESH45" s="1"/>
      <c r="ESI45" s="1"/>
      <c r="ESJ45" s="1"/>
      <c r="ESK45" s="1"/>
      <c r="ESL45" s="1"/>
      <c r="ESM45" s="1"/>
      <c r="ESN45" s="1"/>
      <c r="ESO45" s="1"/>
      <c r="ESP45" s="1"/>
      <c r="ESQ45" s="1"/>
      <c r="ESR45" s="1"/>
      <c r="ESS45" s="1"/>
      <c r="EST45" s="1"/>
      <c r="ESU45" s="1"/>
      <c r="ESV45" s="1"/>
      <c r="ESW45" s="1"/>
      <c r="ESX45" s="1"/>
      <c r="ESY45" s="1"/>
      <c r="ESZ45" s="1"/>
      <c r="ETA45" s="1"/>
      <c r="ETB45" s="1"/>
      <c r="ETC45" s="1"/>
      <c r="ETD45" s="1"/>
      <c r="ETE45" s="1"/>
      <c r="ETF45" s="1"/>
      <c r="ETG45" s="1"/>
      <c r="ETH45" s="1"/>
      <c r="ETI45" s="1"/>
      <c r="ETJ45" s="1"/>
      <c r="ETK45" s="1"/>
      <c r="ETL45" s="1"/>
      <c r="ETM45" s="1"/>
      <c r="ETN45" s="1"/>
      <c r="ETO45" s="1"/>
      <c r="ETP45" s="1"/>
      <c r="ETQ45" s="1"/>
      <c r="ETR45" s="1"/>
      <c r="ETS45" s="1"/>
      <c r="ETT45" s="1"/>
      <c r="ETU45" s="1"/>
      <c r="ETV45" s="1"/>
      <c r="ETW45" s="1"/>
      <c r="ETX45" s="1"/>
      <c r="ETY45" s="1"/>
      <c r="ETZ45" s="1"/>
      <c r="EUA45" s="1"/>
      <c r="EUB45" s="1"/>
      <c r="EUC45" s="1"/>
      <c r="EUD45" s="1"/>
      <c r="EUE45" s="1"/>
      <c r="EUF45" s="1"/>
      <c r="EUG45" s="1"/>
      <c r="EUH45" s="1"/>
      <c r="EUI45" s="1"/>
      <c r="EUJ45" s="1"/>
      <c r="EUK45" s="1"/>
      <c r="EUL45" s="1"/>
      <c r="EUM45" s="1"/>
      <c r="EUN45" s="1"/>
      <c r="EUO45" s="1"/>
      <c r="EUP45" s="1"/>
      <c r="EUQ45" s="1"/>
      <c r="EUR45" s="1"/>
      <c r="EUS45" s="1"/>
      <c r="EUT45" s="1"/>
      <c r="EUU45" s="1"/>
      <c r="EUV45" s="1"/>
      <c r="EUW45" s="1"/>
      <c r="EUX45" s="1"/>
      <c r="EUY45" s="1"/>
      <c r="EUZ45" s="1"/>
      <c r="EVA45" s="1"/>
      <c r="EVB45" s="1"/>
      <c r="EVC45" s="1"/>
      <c r="EVD45" s="1"/>
      <c r="EVE45" s="1"/>
      <c r="EVF45" s="1"/>
      <c r="EVG45" s="1"/>
      <c r="EVH45" s="1"/>
      <c r="EVI45" s="1"/>
      <c r="EVJ45" s="1"/>
      <c r="EVK45" s="1"/>
      <c r="EVL45" s="1"/>
      <c r="EVM45" s="1"/>
      <c r="EVN45" s="1"/>
      <c r="EVO45" s="1"/>
      <c r="EVP45" s="1"/>
      <c r="EVQ45" s="1"/>
      <c r="EVR45" s="1"/>
      <c r="EVS45" s="1"/>
      <c r="EVT45" s="1"/>
      <c r="EVU45" s="1"/>
      <c r="EVV45" s="1"/>
      <c r="EVW45" s="1"/>
      <c r="EVX45" s="1"/>
      <c r="EVY45" s="1"/>
      <c r="EVZ45" s="1"/>
      <c r="EWA45" s="1"/>
      <c r="EWB45" s="1"/>
      <c r="EWC45" s="1"/>
      <c r="EWD45" s="1"/>
      <c r="EWE45" s="1"/>
      <c r="EWF45" s="1"/>
      <c r="EWG45" s="1"/>
      <c r="EWH45" s="1"/>
      <c r="EWI45" s="1"/>
      <c r="EWJ45" s="1"/>
      <c r="EWK45" s="1"/>
      <c r="EWL45" s="1"/>
      <c r="EWM45" s="1"/>
      <c r="EWN45" s="1"/>
      <c r="EWO45" s="1"/>
      <c r="EWP45" s="1"/>
      <c r="EWQ45" s="1"/>
      <c r="EWR45" s="1"/>
      <c r="EWS45" s="1"/>
      <c r="EWT45" s="1"/>
      <c r="EWU45" s="1"/>
      <c r="EWV45" s="1"/>
      <c r="EWW45" s="1"/>
      <c r="EWX45" s="1"/>
      <c r="EWY45" s="1"/>
      <c r="EWZ45" s="1"/>
      <c r="EXA45" s="1"/>
      <c r="EXB45" s="1"/>
      <c r="EXC45" s="1"/>
      <c r="EXD45" s="1"/>
      <c r="EXE45" s="1"/>
      <c r="EXF45" s="1"/>
      <c r="EXG45" s="1"/>
      <c r="EXH45" s="1"/>
      <c r="EXI45" s="1"/>
      <c r="EXJ45" s="1"/>
      <c r="EXK45" s="1"/>
      <c r="EXL45" s="1"/>
      <c r="EXM45" s="1"/>
      <c r="EXN45" s="1"/>
      <c r="EXO45" s="1"/>
      <c r="EXP45" s="1"/>
      <c r="EXQ45" s="1"/>
      <c r="EXR45" s="1"/>
      <c r="EXS45" s="1"/>
      <c r="EXT45" s="1"/>
      <c r="EXU45" s="1"/>
      <c r="EXV45" s="1"/>
      <c r="EXW45" s="1"/>
      <c r="EXX45" s="1"/>
      <c r="EXY45" s="1"/>
      <c r="EXZ45" s="1"/>
      <c r="EYA45" s="1"/>
      <c r="EYB45" s="1"/>
      <c r="EYC45" s="1"/>
      <c r="EYD45" s="1"/>
      <c r="EYE45" s="1"/>
      <c r="EYF45" s="1"/>
      <c r="EYG45" s="1"/>
      <c r="EYH45" s="1"/>
      <c r="EYI45" s="1"/>
      <c r="EYJ45" s="1"/>
      <c r="EYK45" s="1"/>
      <c r="EYL45" s="1"/>
      <c r="EYM45" s="1"/>
      <c r="EYN45" s="1"/>
      <c r="EYO45" s="1"/>
      <c r="EYP45" s="1"/>
      <c r="EYQ45" s="1"/>
      <c r="EYR45" s="1"/>
      <c r="EYS45" s="1"/>
      <c r="EYT45" s="1"/>
      <c r="EYU45" s="1"/>
      <c r="EYV45" s="1"/>
      <c r="EYW45" s="1"/>
      <c r="EYX45" s="1"/>
      <c r="EYY45" s="1"/>
      <c r="EYZ45" s="1"/>
      <c r="EZA45" s="1"/>
      <c r="EZB45" s="1"/>
      <c r="EZC45" s="1"/>
      <c r="EZD45" s="1"/>
      <c r="EZE45" s="1"/>
      <c r="EZF45" s="1"/>
      <c r="EZG45" s="1"/>
      <c r="EZH45" s="1"/>
      <c r="EZI45" s="1"/>
      <c r="EZJ45" s="1"/>
      <c r="EZK45" s="1"/>
      <c r="EZL45" s="1"/>
      <c r="EZM45" s="1"/>
      <c r="EZN45" s="1"/>
      <c r="EZO45" s="1"/>
      <c r="EZP45" s="1"/>
      <c r="EZQ45" s="1"/>
      <c r="EZR45" s="1"/>
      <c r="EZS45" s="1"/>
      <c r="EZT45" s="1"/>
      <c r="EZU45" s="1"/>
      <c r="EZV45" s="1"/>
      <c r="EZW45" s="1"/>
      <c r="EZX45" s="1"/>
      <c r="EZY45" s="1"/>
      <c r="EZZ45" s="1"/>
      <c r="FAA45" s="1"/>
      <c r="FAB45" s="1"/>
      <c r="FAC45" s="1"/>
      <c r="FAD45" s="1"/>
      <c r="FAE45" s="1"/>
      <c r="FAF45" s="1"/>
      <c r="FAG45" s="1"/>
      <c r="FAH45" s="1"/>
      <c r="FAI45" s="1"/>
      <c r="FAJ45" s="1"/>
      <c r="FAK45" s="1"/>
      <c r="FAL45" s="1"/>
      <c r="FAM45" s="1"/>
      <c r="FAN45" s="1"/>
      <c r="FAO45" s="1"/>
      <c r="FAP45" s="1"/>
      <c r="FAQ45" s="1"/>
      <c r="FAR45" s="1"/>
      <c r="FAS45" s="1"/>
      <c r="FAT45" s="1"/>
      <c r="FAU45" s="1"/>
      <c r="FAV45" s="1"/>
      <c r="FAW45" s="1"/>
      <c r="FAX45" s="1"/>
      <c r="FAY45" s="1"/>
      <c r="FAZ45" s="1"/>
      <c r="FBA45" s="1"/>
      <c r="FBB45" s="1"/>
      <c r="FBC45" s="1"/>
      <c r="FBD45" s="1"/>
      <c r="FBE45" s="1"/>
      <c r="FBF45" s="1"/>
      <c r="FBG45" s="1"/>
      <c r="FBH45" s="1"/>
      <c r="FBI45" s="1"/>
      <c r="FBJ45" s="1"/>
      <c r="FBK45" s="1"/>
      <c r="FBL45" s="1"/>
      <c r="FBM45" s="1"/>
      <c r="FBN45" s="1"/>
      <c r="FBO45" s="1"/>
      <c r="FBP45" s="1"/>
      <c r="FBQ45" s="1"/>
      <c r="FBR45" s="1"/>
      <c r="FBS45" s="1"/>
      <c r="FBT45" s="1"/>
      <c r="FBU45" s="1"/>
      <c r="FBV45" s="1"/>
      <c r="FBW45" s="1"/>
      <c r="FBX45" s="1"/>
      <c r="FBY45" s="1"/>
      <c r="FBZ45" s="1"/>
      <c r="FCA45" s="1"/>
      <c r="FCB45" s="1"/>
      <c r="FCC45" s="1"/>
      <c r="FCD45" s="1"/>
      <c r="FCE45" s="1"/>
      <c r="FCF45" s="1"/>
      <c r="FCG45" s="1"/>
      <c r="FCH45" s="1"/>
      <c r="FCI45" s="1"/>
      <c r="FCJ45" s="1"/>
      <c r="FCK45" s="1"/>
      <c r="FCL45" s="1"/>
      <c r="FCM45" s="1"/>
      <c r="FCN45" s="1"/>
      <c r="FCO45" s="1"/>
      <c r="FCP45" s="1"/>
      <c r="FCQ45" s="1"/>
      <c r="FCR45" s="1"/>
      <c r="FCS45" s="1"/>
      <c r="FCT45" s="1"/>
      <c r="FCU45" s="1"/>
      <c r="FCV45" s="1"/>
      <c r="FCW45" s="1"/>
      <c r="FCX45" s="1"/>
      <c r="FCY45" s="1"/>
      <c r="FCZ45" s="1"/>
      <c r="FDA45" s="1"/>
      <c r="FDB45" s="1"/>
      <c r="FDC45" s="1"/>
      <c r="FDD45" s="1"/>
      <c r="FDE45" s="1"/>
      <c r="FDF45" s="1"/>
      <c r="FDG45" s="1"/>
      <c r="FDH45" s="1"/>
      <c r="FDI45" s="1"/>
      <c r="FDJ45" s="1"/>
      <c r="FDK45" s="1"/>
      <c r="FDL45" s="1"/>
      <c r="FDM45" s="1"/>
      <c r="FDN45" s="1"/>
      <c r="FDO45" s="1"/>
      <c r="FDP45" s="1"/>
      <c r="FDQ45" s="1"/>
      <c r="FDR45" s="1"/>
      <c r="FDS45" s="1"/>
      <c r="FDT45" s="1"/>
      <c r="FDU45" s="1"/>
      <c r="FDV45" s="1"/>
      <c r="FDW45" s="1"/>
      <c r="FDX45" s="1"/>
      <c r="FDY45" s="1"/>
      <c r="FDZ45" s="1"/>
      <c r="FEA45" s="1"/>
      <c r="FEB45" s="1"/>
      <c r="FEC45" s="1"/>
      <c r="FED45" s="1"/>
      <c r="FEE45" s="1"/>
      <c r="FEF45" s="1"/>
      <c r="FEG45" s="1"/>
      <c r="FEH45" s="1"/>
      <c r="FEI45" s="1"/>
      <c r="FEJ45" s="1"/>
      <c r="FEK45" s="1"/>
      <c r="FEL45" s="1"/>
      <c r="FEM45" s="1"/>
      <c r="FEN45" s="1"/>
      <c r="FEO45" s="1"/>
      <c r="FEP45" s="1"/>
      <c r="FEQ45" s="1"/>
      <c r="FER45" s="1"/>
      <c r="FES45" s="1"/>
      <c r="FET45" s="1"/>
      <c r="FEU45" s="1"/>
      <c r="FEV45" s="1"/>
      <c r="FEW45" s="1"/>
      <c r="FEX45" s="1"/>
      <c r="FEY45" s="1"/>
      <c r="FEZ45" s="1"/>
      <c r="FFA45" s="1"/>
      <c r="FFB45" s="1"/>
      <c r="FFC45" s="1"/>
      <c r="FFD45" s="1"/>
      <c r="FFE45" s="1"/>
      <c r="FFF45" s="1"/>
      <c r="FFG45" s="1"/>
      <c r="FFH45" s="1"/>
      <c r="FFI45" s="1"/>
      <c r="FFJ45" s="1"/>
      <c r="FFK45" s="1"/>
      <c r="FFL45" s="1"/>
      <c r="FFM45" s="1"/>
      <c r="FFN45" s="1"/>
      <c r="FFO45" s="1"/>
      <c r="FFP45" s="1"/>
      <c r="FFQ45" s="1"/>
      <c r="FFR45" s="1"/>
      <c r="FFS45" s="1"/>
      <c r="FFT45" s="1"/>
      <c r="FFU45" s="1"/>
      <c r="FFV45" s="1"/>
      <c r="FFW45" s="1"/>
      <c r="FFX45" s="1"/>
      <c r="FFY45" s="1"/>
      <c r="FFZ45" s="1"/>
      <c r="FGA45" s="1"/>
      <c r="FGB45" s="1"/>
      <c r="FGC45" s="1"/>
      <c r="FGD45" s="1"/>
      <c r="FGE45" s="1"/>
      <c r="FGF45" s="1"/>
      <c r="FGG45" s="1"/>
      <c r="FGH45" s="1"/>
      <c r="FGI45" s="1"/>
      <c r="FGJ45" s="1"/>
      <c r="FGK45" s="1"/>
      <c r="FGL45" s="1"/>
      <c r="FGM45" s="1"/>
      <c r="FGN45" s="1"/>
      <c r="FGO45" s="1"/>
      <c r="FGP45" s="1"/>
      <c r="FGQ45" s="1"/>
      <c r="FGR45" s="1"/>
      <c r="FGS45" s="1"/>
      <c r="FGT45" s="1"/>
      <c r="FGU45" s="1"/>
      <c r="FGV45" s="1"/>
      <c r="FGW45" s="1"/>
      <c r="FGX45" s="1"/>
      <c r="FGY45" s="1"/>
      <c r="FGZ45" s="1"/>
      <c r="FHA45" s="1"/>
      <c r="FHB45" s="1"/>
      <c r="FHC45" s="1"/>
      <c r="FHD45" s="1"/>
      <c r="FHE45" s="1"/>
      <c r="FHF45" s="1"/>
      <c r="FHG45" s="1"/>
      <c r="FHH45" s="1"/>
      <c r="FHI45" s="1"/>
      <c r="FHJ45" s="1"/>
      <c r="FHK45" s="1"/>
      <c r="FHL45" s="1"/>
      <c r="FHM45" s="1"/>
      <c r="FHN45" s="1"/>
      <c r="FHO45" s="1"/>
      <c r="FHP45" s="1"/>
      <c r="FHQ45" s="1"/>
      <c r="FHR45" s="1"/>
      <c r="FHS45" s="1"/>
      <c r="FHT45" s="1"/>
      <c r="FHU45" s="1"/>
      <c r="FHV45" s="1"/>
      <c r="FHW45" s="1"/>
      <c r="FHX45" s="1"/>
      <c r="FHY45" s="1"/>
      <c r="FHZ45" s="1"/>
      <c r="FIA45" s="1"/>
      <c r="FIB45" s="1"/>
      <c r="FIC45" s="1"/>
      <c r="FID45" s="1"/>
      <c r="FIE45" s="1"/>
      <c r="FIF45" s="1"/>
      <c r="FIG45" s="1"/>
      <c r="FIH45" s="1"/>
      <c r="FII45" s="1"/>
      <c r="FIJ45" s="1"/>
      <c r="FIK45" s="1"/>
      <c r="FIL45" s="1"/>
      <c r="FIM45" s="1"/>
      <c r="FIN45" s="1"/>
      <c r="FIO45" s="1"/>
      <c r="FIP45" s="1"/>
      <c r="FIQ45" s="1"/>
      <c r="FIR45" s="1"/>
      <c r="FIS45" s="1"/>
      <c r="FIT45" s="1"/>
      <c r="FIU45" s="1"/>
      <c r="FIV45" s="1"/>
      <c r="FIW45" s="1"/>
      <c r="FIX45" s="1"/>
      <c r="FIY45" s="1"/>
      <c r="FIZ45" s="1"/>
      <c r="FJA45" s="1"/>
      <c r="FJB45" s="1"/>
      <c r="FJC45" s="1"/>
      <c r="FJD45" s="1"/>
      <c r="FJE45" s="1"/>
      <c r="FJF45" s="1"/>
      <c r="FJG45" s="1"/>
      <c r="FJH45" s="1"/>
      <c r="FJI45" s="1"/>
      <c r="FJJ45" s="1"/>
      <c r="FJK45" s="1"/>
      <c r="FJL45" s="1"/>
      <c r="FJM45" s="1"/>
      <c r="FJN45" s="1"/>
      <c r="FJO45" s="1"/>
      <c r="FJP45" s="1"/>
      <c r="FJQ45" s="1"/>
      <c r="FJR45" s="1"/>
      <c r="FJS45" s="1"/>
      <c r="FJT45" s="1"/>
      <c r="FJU45" s="1"/>
      <c r="FJV45" s="1"/>
      <c r="FJW45" s="1"/>
      <c r="FJX45" s="1"/>
      <c r="FJY45" s="1"/>
      <c r="FJZ45" s="1"/>
      <c r="FKA45" s="1"/>
      <c r="FKB45" s="1"/>
      <c r="FKC45" s="1"/>
      <c r="FKD45" s="1"/>
      <c r="FKE45" s="1"/>
      <c r="FKF45" s="1"/>
      <c r="FKG45" s="1"/>
      <c r="FKH45" s="1"/>
      <c r="FKI45" s="1"/>
      <c r="FKJ45" s="1"/>
      <c r="FKK45" s="1"/>
      <c r="FKL45" s="1"/>
      <c r="FKM45" s="1"/>
      <c r="FKN45" s="1"/>
      <c r="FKO45" s="1"/>
      <c r="FKP45" s="1"/>
      <c r="FKQ45" s="1"/>
      <c r="FKR45" s="1"/>
      <c r="FKS45" s="1"/>
      <c r="FKT45" s="1"/>
      <c r="FKU45" s="1"/>
      <c r="FKV45" s="1"/>
      <c r="FKW45" s="1"/>
      <c r="FKX45" s="1"/>
      <c r="FKY45" s="1"/>
      <c r="FKZ45" s="1"/>
      <c r="FLA45" s="1"/>
      <c r="FLB45" s="1"/>
      <c r="FLC45" s="1"/>
      <c r="FLD45" s="1"/>
      <c r="FLE45" s="1"/>
      <c r="FLF45" s="1"/>
      <c r="FLG45" s="1"/>
      <c r="FLH45" s="1"/>
      <c r="FLI45" s="1"/>
      <c r="FLJ45" s="1"/>
      <c r="FLK45" s="1"/>
      <c r="FLL45" s="1"/>
      <c r="FLM45" s="1"/>
      <c r="FLN45" s="1"/>
      <c r="FLO45" s="1"/>
      <c r="FLP45" s="1"/>
      <c r="FLQ45" s="1"/>
      <c r="FLR45" s="1"/>
      <c r="FLS45" s="1"/>
      <c r="FLT45" s="1"/>
      <c r="FLU45" s="1"/>
      <c r="FLV45" s="1"/>
      <c r="FLW45" s="1"/>
      <c r="FLX45" s="1"/>
      <c r="FLY45" s="1"/>
      <c r="FLZ45" s="1"/>
      <c r="FMA45" s="1"/>
      <c r="FMB45" s="1"/>
      <c r="FMC45" s="1"/>
      <c r="FMD45" s="1"/>
      <c r="FME45" s="1"/>
      <c r="FMF45" s="1"/>
      <c r="FMG45" s="1"/>
      <c r="FMH45" s="1"/>
      <c r="FMI45" s="1"/>
      <c r="FMJ45" s="1"/>
      <c r="FMK45" s="1"/>
      <c r="FML45" s="1"/>
      <c r="FMM45" s="1"/>
      <c r="FMN45" s="1"/>
      <c r="FMO45" s="1"/>
      <c r="FMP45" s="1"/>
      <c r="FMQ45" s="1"/>
      <c r="FMR45" s="1"/>
      <c r="FMS45" s="1"/>
      <c r="FMT45" s="1"/>
      <c r="FMU45" s="1"/>
      <c r="FMV45" s="1"/>
      <c r="FMW45" s="1"/>
      <c r="FMX45" s="1"/>
      <c r="FMY45" s="1"/>
      <c r="FMZ45" s="1"/>
      <c r="FNA45" s="1"/>
      <c r="FNB45" s="1"/>
      <c r="FNC45" s="1"/>
      <c r="FND45" s="1"/>
      <c r="FNE45" s="1"/>
      <c r="FNF45" s="1"/>
      <c r="FNG45" s="1"/>
      <c r="FNH45" s="1"/>
      <c r="FNI45" s="1"/>
      <c r="FNJ45" s="1"/>
      <c r="FNK45" s="1"/>
      <c r="FNL45" s="1"/>
      <c r="FNM45" s="1"/>
      <c r="FNN45" s="1"/>
      <c r="FNO45" s="1"/>
      <c r="FNP45" s="1"/>
      <c r="FNQ45" s="1"/>
      <c r="FNR45" s="1"/>
      <c r="FNS45" s="1"/>
      <c r="FNT45" s="1"/>
      <c r="FNU45" s="1"/>
      <c r="FNV45" s="1"/>
      <c r="FNW45" s="1"/>
      <c r="FNX45" s="1"/>
      <c r="FNY45" s="1"/>
      <c r="FNZ45" s="1"/>
      <c r="FOA45" s="1"/>
      <c r="FOB45" s="1"/>
      <c r="FOC45" s="1"/>
      <c r="FOD45" s="1"/>
      <c r="FOE45" s="1"/>
      <c r="FOF45" s="1"/>
      <c r="FOG45" s="1"/>
      <c r="FOH45" s="1"/>
      <c r="FOI45" s="1"/>
      <c r="FOJ45" s="1"/>
      <c r="FOK45" s="1"/>
      <c r="FOL45" s="1"/>
      <c r="FOM45" s="1"/>
      <c r="FON45" s="1"/>
      <c r="FOO45" s="1"/>
      <c r="FOP45" s="1"/>
      <c r="FOQ45" s="1"/>
      <c r="FOR45" s="1"/>
      <c r="FOS45" s="1"/>
      <c r="FOT45" s="1"/>
      <c r="FOU45" s="1"/>
      <c r="FOV45" s="1"/>
      <c r="FOW45" s="1"/>
      <c r="FOX45" s="1"/>
      <c r="FOY45" s="1"/>
      <c r="FOZ45" s="1"/>
      <c r="FPA45" s="1"/>
      <c r="FPB45" s="1"/>
      <c r="FPC45" s="1"/>
      <c r="FPD45" s="1"/>
      <c r="FPE45" s="1"/>
      <c r="FPF45" s="1"/>
      <c r="FPG45" s="1"/>
      <c r="FPH45" s="1"/>
      <c r="FPI45" s="1"/>
      <c r="FPJ45" s="1"/>
      <c r="FPK45" s="1"/>
      <c r="FPL45" s="1"/>
      <c r="FPM45" s="1"/>
      <c r="FPN45" s="1"/>
      <c r="FPO45" s="1"/>
      <c r="FPP45" s="1"/>
      <c r="FPQ45" s="1"/>
      <c r="FPR45" s="1"/>
      <c r="FPS45" s="1"/>
      <c r="FPT45" s="1"/>
      <c r="FPU45" s="1"/>
      <c r="FPV45" s="1"/>
      <c r="FPW45" s="1"/>
      <c r="FPX45" s="1"/>
      <c r="FPY45" s="1"/>
      <c r="FPZ45" s="1"/>
      <c r="FQA45" s="1"/>
      <c r="FQB45" s="1"/>
      <c r="FQC45" s="1"/>
      <c r="FQD45" s="1"/>
      <c r="FQE45" s="1"/>
      <c r="FQF45" s="1"/>
      <c r="FQG45" s="1"/>
      <c r="FQH45" s="1"/>
      <c r="FQI45" s="1"/>
      <c r="FQJ45" s="1"/>
      <c r="FQK45" s="1"/>
      <c r="FQL45" s="1"/>
      <c r="FQM45" s="1"/>
      <c r="FQN45" s="1"/>
      <c r="FQO45" s="1"/>
      <c r="FQP45" s="1"/>
      <c r="FQQ45" s="1"/>
      <c r="FQR45" s="1"/>
      <c r="FQS45" s="1"/>
      <c r="FQT45" s="1"/>
      <c r="FQU45" s="1"/>
      <c r="FQV45" s="1"/>
      <c r="FQW45" s="1"/>
      <c r="FQX45" s="1"/>
      <c r="FQY45" s="1"/>
      <c r="FQZ45" s="1"/>
      <c r="FRA45" s="1"/>
      <c r="FRB45" s="1"/>
      <c r="FRC45" s="1"/>
      <c r="FRD45" s="1"/>
      <c r="FRE45" s="1"/>
      <c r="FRF45" s="1"/>
      <c r="FRG45" s="1"/>
      <c r="FRH45" s="1"/>
      <c r="FRI45" s="1"/>
      <c r="FRJ45" s="1"/>
      <c r="FRK45" s="1"/>
      <c r="FRL45" s="1"/>
      <c r="FRM45" s="1"/>
      <c r="FRN45" s="1"/>
      <c r="FRO45" s="1"/>
      <c r="FRP45" s="1"/>
      <c r="FRQ45" s="1"/>
      <c r="FRR45" s="1"/>
      <c r="FRS45" s="1"/>
      <c r="FRT45" s="1"/>
      <c r="FRU45" s="1"/>
      <c r="FRV45" s="1"/>
      <c r="FRW45" s="1"/>
      <c r="FRX45" s="1"/>
      <c r="FRY45" s="1"/>
      <c r="FRZ45" s="1"/>
      <c r="FSA45" s="1"/>
      <c r="FSB45" s="1"/>
      <c r="FSC45" s="1"/>
      <c r="FSD45" s="1"/>
      <c r="FSE45" s="1"/>
      <c r="FSF45" s="1"/>
      <c r="FSG45" s="1"/>
      <c r="FSH45" s="1"/>
      <c r="FSI45" s="1"/>
      <c r="FSJ45" s="1"/>
      <c r="FSK45" s="1"/>
      <c r="FSL45" s="1"/>
      <c r="FSM45" s="1"/>
      <c r="FSN45" s="1"/>
      <c r="FSO45" s="1"/>
      <c r="FSP45" s="1"/>
      <c r="FSQ45" s="1"/>
      <c r="FSR45" s="1"/>
      <c r="FSS45" s="1"/>
      <c r="FST45" s="1"/>
      <c r="FSU45" s="1"/>
      <c r="FSV45" s="1"/>
      <c r="FSW45" s="1"/>
      <c r="FSX45" s="1"/>
      <c r="FSY45" s="1"/>
      <c r="FSZ45" s="1"/>
      <c r="FTA45" s="1"/>
      <c r="FTB45" s="1"/>
      <c r="FTC45" s="1"/>
      <c r="FTD45" s="1"/>
      <c r="FTE45" s="1"/>
      <c r="FTF45" s="1"/>
      <c r="FTG45" s="1"/>
      <c r="FTH45" s="1"/>
      <c r="FTI45" s="1"/>
      <c r="FTJ45" s="1"/>
      <c r="FTK45" s="1"/>
      <c r="FTL45" s="1"/>
      <c r="FTM45" s="1"/>
      <c r="FTN45" s="1"/>
      <c r="FTO45" s="1"/>
      <c r="FTP45" s="1"/>
      <c r="FTQ45" s="1"/>
      <c r="FTR45" s="1"/>
      <c r="FTS45" s="1"/>
      <c r="FTT45" s="1"/>
      <c r="FTU45" s="1"/>
      <c r="FTV45" s="1"/>
      <c r="FTW45" s="1"/>
      <c r="FTX45" s="1"/>
      <c r="FTY45" s="1"/>
      <c r="FTZ45" s="1"/>
      <c r="FUA45" s="1"/>
      <c r="FUB45" s="1"/>
      <c r="FUC45" s="1"/>
      <c r="FUD45" s="1"/>
      <c r="FUE45" s="1"/>
      <c r="FUF45" s="1"/>
      <c r="FUG45" s="1"/>
      <c r="FUH45" s="1"/>
      <c r="FUI45" s="1"/>
      <c r="FUJ45" s="1"/>
      <c r="FUK45" s="1"/>
      <c r="FUL45" s="1"/>
      <c r="FUM45" s="1"/>
      <c r="FUN45" s="1"/>
      <c r="FUO45" s="1"/>
      <c r="FUP45" s="1"/>
      <c r="FUQ45" s="1"/>
      <c r="FUR45" s="1"/>
      <c r="FUS45" s="1"/>
      <c r="FUT45" s="1"/>
      <c r="FUU45" s="1"/>
      <c r="FUV45" s="1"/>
      <c r="FUW45" s="1"/>
      <c r="FUX45" s="1"/>
      <c r="FUY45" s="1"/>
      <c r="FUZ45" s="1"/>
      <c r="FVA45" s="1"/>
      <c r="FVB45" s="1"/>
      <c r="FVC45" s="1"/>
      <c r="FVD45" s="1"/>
      <c r="FVE45" s="1"/>
      <c r="FVF45" s="1"/>
      <c r="FVG45" s="1"/>
      <c r="FVH45" s="1"/>
      <c r="FVI45" s="1"/>
      <c r="FVJ45" s="1"/>
      <c r="FVK45" s="1"/>
      <c r="FVL45" s="1"/>
      <c r="FVM45" s="1"/>
      <c r="FVN45" s="1"/>
      <c r="FVO45" s="1"/>
      <c r="FVP45" s="1"/>
      <c r="FVQ45" s="1"/>
      <c r="FVR45" s="1"/>
      <c r="FVS45" s="1"/>
      <c r="FVT45" s="1"/>
      <c r="FVU45" s="1"/>
      <c r="FVV45" s="1"/>
      <c r="FVW45" s="1"/>
      <c r="FVX45" s="1"/>
      <c r="FVY45" s="1"/>
      <c r="FVZ45" s="1"/>
      <c r="FWA45" s="1"/>
      <c r="FWB45" s="1"/>
      <c r="FWC45" s="1"/>
      <c r="FWD45" s="1"/>
      <c r="FWE45" s="1"/>
      <c r="FWF45" s="1"/>
      <c r="FWG45" s="1"/>
      <c r="FWH45" s="1"/>
      <c r="FWI45" s="1"/>
      <c r="FWJ45" s="1"/>
      <c r="FWK45" s="1"/>
      <c r="FWL45" s="1"/>
      <c r="FWM45" s="1"/>
      <c r="FWN45" s="1"/>
      <c r="FWO45" s="1"/>
      <c r="FWP45" s="1"/>
      <c r="FWQ45" s="1"/>
      <c r="FWR45" s="1"/>
      <c r="FWS45" s="1"/>
      <c r="FWT45" s="1"/>
      <c r="FWU45" s="1"/>
      <c r="FWV45" s="1"/>
      <c r="FWW45" s="1"/>
      <c r="FWX45" s="1"/>
      <c r="FWY45" s="1"/>
      <c r="FWZ45" s="1"/>
      <c r="FXA45" s="1"/>
      <c r="FXB45" s="1"/>
      <c r="FXC45" s="1"/>
      <c r="FXD45" s="1"/>
      <c r="FXE45" s="1"/>
      <c r="FXF45" s="1"/>
      <c r="FXG45" s="1"/>
      <c r="FXH45" s="1"/>
      <c r="FXI45" s="1"/>
      <c r="FXJ45" s="1"/>
      <c r="FXK45" s="1"/>
      <c r="FXL45" s="1"/>
      <c r="FXM45" s="1"/>
      <c r="FXN45" s="1"/>
      <c r="FXO45" s="1"/>
      <c r="FXP45" s="1"/>
      <c r="FXQ45" s="1"/>
      <c r="FXR45" s="1"/>
      <c r="FXS45" s="1"/>
      <c r="FXT45" s="1"/>
      <c r="FXU45" s="1"/>
      <c r="FXV45" s="1"/>
      <c r="FXW45" s="1"/>
      <c r="FXX45" s="1"/>
      <c r="FXY45" s="1"/>
      <c r="FXZ45" s="1"/>
      <c r="FYA45" s="1"/>
      <c r="FYB45" s="1"/>
      <c r="FYC45" s="1"/>
      <c r="FYD45" s="1"/>
      <c r="FYE45" s="1"/>
      <c r="FYF45" s="1"/>
      <c r="FYG45" s="1"/>
      <c r="FYH45" s="1"/>
      <c r="FYI45" s="1"/>
      <c r="FYJ45" s="1"/>
      <c r="FYK45" s="1"/>
      <c r="FYL45" s="1"/>
      <c r="FYM45" s="1"/>
      <c r="FYN45" s="1"/>
      <c r="FYO45" s="1"/>
      <c r="FYP45" s="1"/>
      <c r="FYQ45" s="1"/>
      <c r="FYR45" s="1"/>
      <c r="FYS45" s="1"/>
      <c r="FYT45" s="1"/>
      <c r="FYU45" s="1"/>
      <c r="FYV45" s="1"/>
      <c r="FYW45" s="1"/>
      <c r="FYX45" s="1"/>
      <c r="FYY45" s="1"/>
      <c r="FYZ45" s="1"/>
      <c r="FZA45" s="1"/>
      <c r="FZB45" s="1"/>
      <c r="FZC45" s="1"/>
      <c r="FZD45" s="1"/>
      <c r="FZE45" s="1"/>
      <c r="FZF45" s="1"/>
      <c r="FZG45" s="1"/>
      <c r="FZH45" s="1"/>
      <c r="FZI45" s="1"/>
      <c r="FZJ45" s="1"/>
      <c r="FZK45" s="1"/>
      <c r="FZL45" s="1"/>
      <c r="FZM45" s="1"/>
      <c r="FZN45" s="1"/>
      <c r="FZO45" s="1"/>
      <c r="FZP45" s="1"/>
      <c r="FZQ45" s="1"/>
      <c r="FZR45" s="1"/>
      <c r="FZS45" s="1"/>
      <c r="FZT45" s="1"/>
      <c r="FZU45" s="1"/>
      <c r="FZV45" s="1"/>
      <c r="FZW45" s="1"/>
      <c r="FZX45" s="1"/>
      <c r="FZY45" s="1"/>
      <c r="FZZ45" s="1"/>
      <c r="GAA45" s="1"/>
      <c r="GAB45" s="1"/>
      <c r="GAC45" s="1"/>
      <c r="GAD45" s="1"/>
      <c r="GAE45" s="1"/>
      <c r="GAF45" s="1"/>
      <c r="GAG45" s="1"/>
      <c r="GAH45" s="1"/>
      <c r="GAI45" s="1"/>
      <c r="GAJ45" s="1"/>
      <c r="GAK45" s="1"/>
      <c r="GAL45" s="1"/>
      <c r="GAM45" s="1"/>
      <c r="GAN45" s="1"/>
      <c r="GAO45" s="1"/>
      <c r="GAP45" s="1"/>
      <c r="GAQ45" s="1"/>
      <c r="GAR45" s="1"/>
      <c r="GAS45" s="1"/>
      <c r="GAT45" s="1"/>
      <c r="GAU45" s="1"/>
      <c r="GAV45" s="1"/>
      <c r="GAW45" s="1"/>
      <c r="GAX45" s="1"/>
      <c r="GAY45" s="1"/>
      <c r="GAZ45" s="1"/>
      <c r="GBA45" s="1"/>
      <c r="GBB45" s="1"/>
      <c r="GBC45" s="1"/>
      <c r="GBD45" s="1"/>
      <c r="GBE45" s="1"/>
      <c r="GBF45" s="1"/>
      <c r="GBG45" s="1"/>
      <c r="GBH45" s="1"/>
      <c r="GBI45" s="1"/>
      <c r="GBJ45" s="1"/>
      <c r="GBK45" s="1"/>
      <c r="GBL45" s="1"/>
      <c r="GBM45" s="1"/>
      <c r="GBN45" s="1"/>
      <c r="GBO45" s="1"/>
      <c r="GBP45" s="1"/>
      <c r="GBQ45" s="1"/>
      <c r="GBR45" s="1"/>
      <c r="GBS45" s="1"/>
      <c r="GBT45" s="1"/>
      <c r="GBU45" s="1"/>
      <c r="GBV45" s="1"/>
      <c r="GBW45" s="1"/>
      <c r="GBX45" s="1"/>
      <c r="GBY45" s="1"/>
      <c r="GBZ45" s="1"/>
      <c r="GCA45" s="1"/>
      <c r="GCB45" s="1"/>
      <c r="GCC45" s="1"/>
      <c r="GCD45" s="1"/>
      <c r="GCE45" s="1"/>
      <c r="GCF45" s="1"/>
      <c r="GCG45" s="1"/>
      <c r="GCH45" s="1"/>
      <c r="GCI45" s="1"/>
      <c r="GCJ45" s="1"/>
      <c r="GCK45" s="1"/>
      <c r="GCL45" s="1"/>
      <c r="GCM45" s="1"/>
      <c r="GCN45" s="1"/>
      <c r="GCO45" s="1"/>
      <c r="GCP45" s="1"/>
      <c r="GCQ45" s="1"/>
      <c r="GCR45" s="1"/>
      <c r="GCS45" s="1"/>
      <c r="GCT45" s="1"/>
      <c r="GCU45" s="1"/>
      <c r="GCV45" s="1"/>
      <c r="GCW45" s="1"/>
      <c r="GCX45" s="1"/>
      <c r="GCY45" s="1"/>
      <c r="GCZ45" s="1"/>
      <c r="GDA45" s="1"/>
      <c r="GDB45" s="1"/>
      <c r="GDC45" s="1"/>
      <c r="GDD45" s="1"/>
      <c r="GDE45" s="1"/>
      <c r="GDF45" s="1"/>
      <c r="GDG45" s="1"/>
      <c r="GDH45" s="1"/>
      <c r="GDI45" s="1"/>
      <c r="GDJ45" s="1"/>
      <c r="GDK45" s="1"/>
      <c r="GDL45" s="1"/>
      <c r="GDM45" s="1"/>
      <c r="GDN45" s="1"/>
      <c r="GDO45" s="1"/>
      <c r="GDP45" s="1"/>
      <c r="GDQ45" s="1"/>
      <c r="GDR45" s="1"/>
      <c r="GDS45" s="1"/>
      <c r="GDT45" s="1"/>
      <c r="GDU45" s="1"/>
      <c r="GDV45" s="1"/>
      <c r="GDW45" s="1"/>
      <c r="GDX45" s="1"/>
      <c r="GDY45" s="1"/>
      <c r="GDZ45" s="1"/>
      <c r="GEA45" s="1"/>
      <c r="GEB45" s="1"/>
      <c r="GEC45" s="1"/>
      <c r="GED45" s="1"/>
      <c r="GEE45" s="1"/>
      <c r="GEF45" s="1"/>
      <c r="GEG45" s="1"/>
      <c r="GEH45" s="1"/>
      <c r="GEI45" s="1"/>
      <c r="GEJ45" s="1"/>
      <c r="GEK45" s="1"/>
      <c r="GEL45" s="1"/>
      <c r="GEM45" s="1"/>
      <c r="GEN45" s="1"/>
      <c r="GEO45" s="1"/>
      <c r="GEP45" s="1"/>
      <c r="GEQ45" s="1"/>
      <c r="GER45" s="1"/>
      <c r="GES45" s="1"/>
      <c r="GET45" s="1"/>
      <c r="GEU45" s="1"/>
      <c r="GEV45" s="1"/>
      <c r="GEW45" s="1"/>
      <c r="GEX45" s="1"/>
      <c r="GEY45" s="1"/>
      <c r="GEZ45" s="1"/>
      <c r="GFA45" s="1"/>
      <c r="GFB45" s="1"/>
      <c r="GFC45" s="1"/>
      <c r="GFD45" s="1"/>
      <c r="GFE45" s="1"/>
      <c r="GFF45" s="1"/>
      <c r="GFG45" s="1"/>
      <c r="GFH45" s="1"/>
      <c r="GFI45" s="1"/>
      <c r="GFJ45" s="1"/>
      <c r="GFK45" s="1"/>
      <c r="GFL45" s="1"/>
      <c r="GFM45" s="1"/>
      <c r="GFN45" s="1"/>
      <c r="GFO45" s="1"/>
      <c r="GFP45" s="1"/>
      <c r="GFQ45" s="1"/>
      <c r="GFR45" s="1"/>
      <c r="GFS45" s="1"/>
      <c r="GFT45" s="1"/>
      <c r="GFU45" s="1"/>
      <c r="GFV45" s="1"/>
      <c r="GFW45" s="1"/>
      <c r="GFX45" s="1"/>
      <c r="GFY45" s="1"/>
      <c r="GFZ45" s="1"/>
      <c r="GGA45" s="1"/>
      <c r="GGB45" s="1"/>
      <c r="GGC45" s="1"/>
      <c r="GGD45" s="1"/>
      <c r="GGE45" s="1"/>
      <c r="GGF45" s="1"/>
      <c r="GGG45" s="1"/>
      <c r="GGH45" s="1"/>
      <c r="GGI45" s="1"/>
      <c r="GGJ45" s="1"/>
      <c r="GGK45" s="1"/>
      <c r="GGL45" s="1"/>
      <c r="GGM45" s="1"/>
      <c r="GGN45" s="1"/>
      <c r="GGO45" s="1"/>
      <c r="GGP45" s="1"/>
      <c r="GGQ45" s="1"/>
      <c r="GGR45" s="1"/>
      <c r="GGS45" s="1"/>
      <c r="GGT45" s="1"/>
      <c r="GGU45" s="1"/>
      <c r="GGV45" s="1"/>
      <c r="GGW45" s="1"/>
      <c r="GGX45" s="1"/>
      <c r="GGY45" s="1"/>
      <c r="GGZ45" s="1"/>
      <c r="GHA45" s="1"/>
      <c r="GHB45" s="1"/>
      <c r="GHC45" s="1"/>
      <c r="GHD45" s="1"/>
      <c r="GHE45" s="1"/>
      <c r="GHF45" s="1"/>
      <c r="GHG45" s="1"/>
      <c r="GHH45" s="1"/>
      <c r="GHI45" s="1"/>
      <c r="GHJ45" s="1"/>
      <c r="GHK45" s="1"/>
      <c r="GHL45" s="1"/>
      <c r="GHM45" s="1"/>
      <c r="GHN45" s="1"/>
      <c r="GHO45" s="1"/>
      <c r="GHP45" s="1"/>
      <c r="GHQ45" s="1"/>
      <c r="GHR45" s="1"/>
      <c r="GHS45" s="1"/>
      <c r="GHT45" s="1"/>
      <c r="GHU45" s="1"/>
      <c r="GHV45" s="1"/>
      <c r="GHW45" s="1"/>
      <c r="GHX45" s="1"/>
      <c r="GHY45" s="1"/>
      <c r="GHZ45" s="1"/>
      <c r="GIA45" s="1"/>
      <c r="GIB45" s="1"/>
      <c r="GIC45" s="1"/>
      <c r="GID45" s="1"/>
      <c r="GIE45" s="1"/>
      <c r="GIF45" s="1"/>
      <c r="GIG45" s="1"/>
      <c r="GIH45" s="1"/>
      <c r="GII45" s="1"/>
      <c r="GIJ45" s="1"/>
      <c r="GIK45" s="1"/>
      <c r="GIL45" s="1"/>
      <c r="GIM45" s="1"/>
      <c r="GIN45" s="1"/>
      <c r="GIO45" s="1"/>
      <c r="GIP45" s="1"/>
      <c r="GIQ45" s="1"/>
      <c r="GIR45" s="1"/>
      <c r="GIS45" s="1"/>
      <c r="GIT45" s="1"/>
      <c r="GIU45" s="1"/>
      <c r="GIV45" s="1"/>
      <c r="GIW45" s="1"/>
      <c r="GIX45" s="1"/>
      <c r="GIY45" s="1"/>
      <c r="GIZ45" s="1"/>
      <c r="GJA45" s="1"/>
      <c r="GJB45" s="1"/>
      <c r="GJC45" s="1"/>
      <c r="GJD45" s="1"/>
      <c r="GJE45" s="1"/>
      <c r="GJF45" s="1"/>
      <c r="GJG45" s="1"/>
      <c r="GJH45" s="1"/>
      <c r="GJI45" s="1"/>
      <c r="GJJ45" s="1"/>
      <c r="GJK45" s="1"/>
      <c r="GJL45" s="1"/>
      <c r="GJM45" s="1"/>
      <c r="GJN45" s="1"/>
      <c r="GJO45" s="1"/>
      <c r="GJP45" s="1"/>
      <c r="GJQ45" s="1"/>
      <c r="GJR45" s="1"/>
      <c r="GJS45" s="1"/>
      <c r="GJT45" s="1"/>
      <c r="GJU45" s="1"/>
      <c r="GJV45" s="1"/>
      <c r="GJW45" s="1"/>
      <c r="GJX45" s="1"/>
      <c r="GJY45" s="1"/>
      <c r="GJZ45" s="1"/>
      <c r="GKA45" s="1"/>
      <c r="GKB45" s="1"/>
      <c r="GKC45" s="1"/>
      <c r="GKD45" s="1"/>
      <c r="GKE45" s="1"/>
      <c r="GKF45" s="1"/>
      <c r="GKG45" s="1"/>
      <c r="GKH45" s="1"/>
      <c r="GKI45" s="1"/>
      <c r="GKJ45" s="1"/>
      <c r="GKK45" s="1"/>
      <c r="GKL45" s="1"/>
      <c r="GKM45" s="1"/>
      <c r="GKN45" s="1"/>
      <c r="GKO45" s="1"/>
      <c r="GKP45" s="1"/>
      <c r="GKQ45" s="1"/>
      <c r="GKR45" s="1"/>
      <c r="GKS45" s="1"/>
      <c r="GKT45" s="1"/>
      <c r="GKU45" s="1"/>
      <c r="GKV45" s="1"/>
      <c r="GKW45" s="1"/>
      <c r="GKX45" s="1"/>
      <c r="GKY45" s="1"/>
      <c r="GKZ45" s="1"/>
      <c r="GLA45" s="1"/>
      <c r="GLB45" s="1"/>
      <c r="GLC45" s="1"/>
      <c r="GLD45" s="1"/>
      <c r="GLE45" s="1"/>
      <c r="GLF45" s="1"/>
      <c r="GLG45" s="1"/>
      <c r="GLH45" s="1"/>
      <c r="GLI45" s="1"/>
      <c r="GLJ45" s="1"/>
      <c r="GLK45" s="1"/>
      <c r="GLL45" s="1"/>
      <c r="GLM45" s="1"/>
      <c r="GLN45" s="1"/>
      <c r="GLO45" s="1"/>
      <c r="GLP45" s="1"/>
      <c r="GLQ45" s="1"/>
      <c r="GLR45" s="1"/>
      <c r="GLS45" s="1"/>
      <c r="GLT45" s="1"/>
      <c r="GLU45" s="1"/>
      <c r="GLV45" s="1"/>
      <c r="GLW45" s="1"/>
      <c r="GLX45" s="1"/>
      <c r="GLY45" s="1"/>
      <c r="GLZ45" s="1"/>
      <c r="GMA45" s="1"/>
      <c r="GMB45" s="1"/>
      <c r="GMC45" s="1"/>
      <c r="GMD45" s="1"/>
      <c r="GME45" s="1"/>
      <c r="GMF45" s="1"/>
      <c r="GMG45" s="1"/>
      <c r="GMH45" s="1"/>
      <c r="GMI45" s="1"/>
      <c r="GMJ45" s="1"/>
      <c r="GMK45" s="1"/>
      <c r="GML45" s="1"/>
      <c r="GMM45" s="1"/>
      <c r="GMN45" s="1"/>
      <c r="GMO45" s="1"/>
      <c r="GMP45" s="1"/>
      <c r="GMQ45" s="1"/>
      <c r="GMR45" s="1"/>
      <c r="GMS45" s="1"/>
      <c r="GMT45" s="1"/>
      <c r="GMU45" s="1"/>
      <c r="GMV45" s="1"/>
      <c r="GMW45" s="1"/>
      <c r="GMX45" s="1"/>
      <c r="GMY45" s="1"/>
      <c r="GMZ45" s="1"/>
      <c r="GNA45" s="1"/>
      <c r="GNB45" s="1"/>
      <c r="GNC45" s="1"/>
      <c r="GND45" s="1"/>
      <c r="GNE45" s="1"/>
      <c r="GNF45" s="1"/>
      <c r="GNG45" s="1"/>
      <c r="GNH45" s="1"/>
      <c r="GNI45" s="1"/>
      <c r="GNJ45" s="1"/>
      <c r="GNK45" s="1"/>
      <c r="GNL45" s="1"/>
      <c r="GNM45" s="1"/>
      <c r="GNN45" s="1"/>
      <c r="GNO45" s="1"/>
      <c r="GNP45" s="1"/>
      <c r="GNQ45" s="1"/>
      <c r="GNR45" s="1"/>
      <c r="GNS45" s="1"/>
      <c r="GNT45" s="1"/>
      <c r="GNU45" s="1"/>
      <c r="GNV45" s="1"/>
      <c r="GNW45" s="1"/>
      <c r="GNX45" s="1"/>
      <c r="GNY45" s="1"/>
      <c r="GNZ45" s="1"/>
      <c r="GOA45" s="1"/>
      <c r="GOB45" s="1"/>
      <c r="GOC45" s="1"/>
      <c r="GOD45" s="1"/>
      <c r="GOE45" s="1"/>
      <c r="GOF45" s="1"/>
      <c r="GOG45" s="1"/>
      <c r="GOH45" s="1"/>
      <c r="GOI45" s="1"/>
      <c r="GOJ45" s="1"/>
      <c r="GOK45" s="1"/>
      <c r="GOL45" s="1"/>
      <c r="GOM45" s="1"/>
      <c r="GON45" s="1"/>
      <c r="GOO45" s="1"/>
      <c r="GOP45" s="1"/>
      <c r="GOQ45" s="1"/>
      <c r="GOR45" s="1"/>
      <c r="GOS45" s="1"/>
      <c r="GOT45" s="1"/>
      <c r="GOU45" s="1"/>
      <c r="GOV45" s="1"/>
      <c r="GOW45" s="1"/>
      <c r="GOX45" s="1"/>
      <c r="GOY45" s="1"/>
      <c r="GOZ45" s="1"/>
      <c r="GPA45" s="1"/>
      <c r="GPB45" s="1"/>
      <c r="GPC45" s="1"/>
      <c r="GPD45" s="1"/>
      <c r="GPE45" s="1"/>
      <c r="GPF45" s="1"/>
      <c r="GPG45" s="1"/>
      <c r="GPH45" s="1"/>
      <c r="GPI45" s="1"/>
      <c r="GPJ45" s="1"/>
      <c r="GPK45" s="1"/>
      <c r="GPL45" s="1"/>
      <c r="GPM45" s="1"/>
      <c r="GPN45" s="1"/>
      <c r="GPO45" s="1"/>
      <c r="GPP45" s="1"/>
      <c r="GPQ45" s="1"/>
      <c r="GPR45" s="1"/>
      <c r="GPS45" s="1"/>
      <c r="GPT45" s="1"/>
      <c r="GPU45" s="1"/>
      <c r="GPV45" s="1"/>
      <c r="GPW45" s="1"/>
      <c r="GPX45" s="1"/>
      <c r="GPY45" s="1"/>
      <c r="GPZ45" s="1"/>
      <c r="GQA45" s="1"/>
      <c r="GQB45" s="1"/>
      <c r="GQC45" s="1"/>
      <c r="GQD45" s="1"/>
      <c r="GQE45" s="1"/>
      <c r="GQF45" s="1"/>
      <c r="GQG45" s="1"/>
      <c r="GQH45" s="1"/>
      <c r="GQI45" s="1"/>
      <c r="GQJ45" s="1"/>
      <c r="GQK45" s="1"/>
      <c r="GQL45" s="1"/>
      <c r="GQM45" s="1"/>
      <c r="GQN45" s="1"/>
      <c r="GQO45" s="1"/>
      <c r="GQP45" s="1"/>
      <c r="GQQ45" s="1"/>
      <c r="GQR45" s="1"/>
      <c r="GQS45" s="1"/>
      <c r="GQT45" s="1"/>
      <c r="GQU45" s="1"/>
      <c r="GQV45" s="1"/>
      <c r="GQW45" s="1"/>
      <c r="GQX45" s="1"/>
      <c r="GQY45" s="1"/>
      <c r="GQZ45" s="1"/>
      <c r="GRA45" s="1"/>
      <c r="GRB45" s="1"/>
      <c r="GRC45" s="1"/>
      <c r="GRD45" s="1"/>
      <c r="GRE45" s="1"/>
      <c r="GRF45" s="1"/>
      <c r="GRG45" s="1"/>
      <c r="GRH45" s="1"/>
      <c r="GRI45" s="1"/>
      <c r="GRJ45" s="1"/>
      <c r="GRK45" s="1"/>
      <c r="GRL45" s="1"/>
      <c r="GRM45" s="1"/>
      <c r="GRN45" s="1"/>
      <c r="GRO45" s="1"/>
      <c r="GRP45" s="1"/>
      <c r="GRQ45" s="1"/>
      <c r="GRR45" s="1"/>
      <c r="GRS45" s="1"/>
      <c r="GRT45" s="1"/>
      <c r="GRU45" s="1"/>
      <c r="GRV45" s="1"/>
      <c r="GRW45" s="1"/>
      <c r="GRX45" s="1"/>
      <c r="GRY45" s="1"/>
      <c r="GRZ45" s="1"/>
      <c r="GSA45" s="1"/>
      <c r="GSB45" s="1"/>
      <c r="GSC45" s="1"/>
      <c r="GSD45" s="1"/>
      <c r="GSE45" s="1"/>
      <c r="GSF45" s="1"/>
      <c r="GSG45" s="1"/>
      <c r="GSH45" s="1"/>
      <c r="GSI45" s="1"/>
      <c r="GSJ45" s="1"/>
      <c r="GSK45" s="1"/>
      <c r="GSL45" s="1"/>
      <c r="GSM45" s="1"/>
      <c r="GSN45" s="1"/>
      <c r="GSO45" s="1"/>
      <c r="GSP45" s="1"/>
      <c r="GSQ45" s="1"/>
      <c r="GSR45" s="1"/>
      <c r="GSS45" s="1"/>
      <c r="GST45" s="1"/>
      <c r="GSU45" s="1"/>
      <c r="GSV45" s="1"/>
      <c r="GSW45" s="1"/>
      <c r="GSX45" s="1"/>
      <c r="GSY45" s="1"/>
      <c r="GSZ45" s="1"/>
      <c r="GTA45" s="1"/>
      <c r="GTB45" s="1"/>
      <c r="GTC45" s="1"/>
      <c r="GTD45" s="1"/>
      <c r="GTE45" s="1"/>
      <c r="GTF45" s="1"/>
      <c r="GTG45" s="1"/>
      <c r="GTH45" s="1"/>
      <c r="GTI45" s="1"/>
      <c r="GTJ45" s="1"/>
      <c r="GTK45" s="1"/>
      <c r="GTL45" s="1"/>
      <c r="GTM45" s="1"/>
      <c r="GTN45" s="1"/>
      <c r="GTO45" s="1"/>
      <c r="GTP45" s="1"/>
      <c r="GTQ45" s="1"/>
      <c r="GTR45" s="1"/>
      <c r="GTS45" s="1"/>
      <c r="GTT45" s="1"/>
      <c r="GTU45" s="1"/>
      <c r="GTV45" s="1"/>
      <c r="GTW45" s="1"/>
      <c r="GTX45" s="1"/>
      <c r="GTY45" s="1"/>
      <c r="GTZ45" s="1"/>
      <c r="GUA45" s="1"/>
      <c r="GUB45" s="1"/>
      <c r="GUC45" s="1"/>
      <c r="GUD45" s="1"/>
      <c r="GUE45" s="1"/>
      <c r="GUF45" s="1"/>
      <c r="GUG45" s="1"/>
      <c r="GUH45" s="1"/>
      <c r="GUI45" s="1"/>
      <c r="GUJ45" s="1"/>
      <c r="GUK45" s="1"/>
      <c r="GUL45" s="1"/>
      <c r="GUM45" s="1"/>
      <c r="GUN45" s="1"/>
      <c r="GUO45" s="1"/>
      <c r="GUP45" s="1"/>
      <c r="GUQ45" s="1"/>
      <c r="GUR45" s="1"/>
      <c r="GUS45" s="1"/>
      <c r="GUT45" s="1"/>
      <c r="GUU45" s="1"/>
      <c r="GUV45" s="1"/>
      <c r="GUW45" s="1"/>
      <c r="GUX45" s="1"/>
      <c r="GUY45" s="1"/>
      <c r="GUZ45" s="1"/>
      <c r="GVA45" s="1"/>
      <c r="GVB45" s="1"/>
      <c r="GVC45" s="1"/>
      <c r="GVD45" s="1"/>
      <c r="GVE45" s="1"/>
      <c r="GVF45" s="1"/>
      <c r="GVG45" s="1"/>
      <c r="GVH45" s="1"/>
      <c r="GVI45" s="1"/>
      <c r="GVJ45" s="1"/>
      <c r="GVK45" s="1"/>
      <c r="GVL45" s="1"/>
      <c r="GVM45" s="1"/>
      <c r="GVN45" s="1"/>
      <c r="GVO45" s="1"/>
      <c r="GVP45" s="1"/>
      <c r="GVQ45" s="1"/>
      <c r="GVR45" s="1"/>
      <c r="GVS45" s="1"/>
      <c r="GVT45" s="1"/>
      <c r="GVU45" s="1"/>
      <c r="GVV45" s="1"/>
      <c r="GVW45" s="1"/>
      <c r="GVX45" s="1"/>
      <c r="GVY45" s="1"/>
      <c r="GVZ45" s="1"/>
      <c r="GWA45" s="1"/>
      <c r="GWB45" s="1"/>
      <c r="GWC45" s="1"/>
      <c r="GWD45" s="1"/>
      <c r="GWE45" s="1"/>
      <c r="GWF45" s="1"/>
      <c r="GWG45" s="1"/>
      <c r="GWH45" s="1"/>
      <c r="GWI45" s="1"/>
      <c r="GWJ45" s="1"/>
      <c r="GWK45" s="1"/>
      <c r="GWL45" s="1"/>
      <c r="GWM45" s="1"/>
      <c r="GWN45" s="1"/>
      <c r="GWO45" s="1"/>
      <c r="GWP45" s="1"/>
      <c r="GWQ45" s="1"/>
      <c r="GWR45" s="1"/>
      <c r="GWS45" s="1"/>
      <c r="GWT45" s="1"/>
      <c r="GWU45" s="1"/>
      <c r="GWV45" s="1"/>
      <c r="GWW45" s="1"/>
      <c r="GWX45" s="1"/>
      <c r="GWY45" s="1"/>
      <c r="GWZ45" s="1"/>
      <c r="GXA45" s="1"/>
      <c r="GXB45" s="1"/>
      <c r="GXC45" s="1"/>
      <c r="GXD45" s="1"/>
      <c r="GXE45" s="1"/>
      <c r="GXF45" s="1"/>
      <c r="GXG45" s="1"/>
      <c r="GXH45" s="1"/>
      <c r="GXI45" s="1"/>
      <c r="GXJ45" s="1"/>
      <c r="GXK45" s="1"/>
      <c r="GXL45" s="1"/>
      <c r="GXM45" s="1"/>
      <c r="GXN45" s="1"/>
      <c r="GXO45" s="1"/>
      <c r="GXP45" s="1"/>
      <c r="GXQ45" s="1"/>
      <c r="GXR45" s="1"/>
      <c r="GXS45" s="1"/>
      <c r="GXT45" s="1"/>
      <c r="GXU45" s="1"/>
      <c r="GXV45" s="1"/>
      <c r="GXW45" s="1"/>
      <c r="GXX45" s="1"/>
      <c r="GXY45" s="1"/>
      <c r="GXZ45" s="1"/>
      <c r="GYA45" s="1"/>
      <c r="GYB45" s="1"/>
      <c r="GYC45" s="1"/>
      <c r="GYD45" s="1"/>
      <c r="GYE45" s="1"/>
      <c r="GYF45" s="1"/>
      <c r="GYG45" s="1"/>
      <c r="GYH45" s="1"/>
      <c r="GYI45" s="1"/>
      <c r="GYJ45" s="1"/>
      <c r="GYK45" s="1"/>
      <c r="GYL45" s="1"/>
      <c r="GYM45" s="1"/>
      <c r="GYN45" s="1"/>
      <c r="GYO45" s="1"/>
      <c r="GYP45" s="1"/>
      <c r="GYQ45" s="1"/>
      <c r="GYR45" s="1"/>
      <c r="GYS45" s="1"/>
      <c r="GYT45" s="1"/>
      <c r="GYU45" s="1"/>
      <c r="GYV45" s="1"/>
      <c r="GYW45" s="1"/>
      <c r="GYX45" s="1"/>
      <c r="GYY45" s="1"/>
      <c r="GYZ45" s="1"/>
      <c r="GZA45" s="1"/>
      <c r="GZB45" s="1"/>
      <c r="GZC45" s="1"/>
      <c r="GZD45" s="1"/>
      <c r="GZE45" s="1"/>
      <c r="GZF45" s="1"/>
      <c r="GZG45" s="1"/>
      <c r="GZH45" s="1"/>
      <c r="GZI45" s="1"/>
      <c r="GZJ45" s="1"/>
      <c r="GZK45" s="1"/>
      <c r="GZL45" s="1"/>
      <c r="GZM45" s="1"/>
      <c r="GZN45" s="1"/>
      <c r="GZO45" s="1"/>
      <c r="GZP45" s="1"/>
      <c r="GZQ45" s="1"/>
      <c r="GZR45" s="1"/>
      <c r="GZS45" s="1"/>
      <c r="GZT45" s="1"/>
      <c r="GZU45" s="1"/>
      <c r="GZV45" s="1"/>
      <c r="GZW45" s="1"/>
      <c r="GZX45" s="1"/>
      <c r="GZY45" s="1"/>
      <c r="GZZ45" s="1"/>
      <c r="HAA45" s="1"/>
      <c r="HAB45" s="1"/>
      <c r="HAC45" s="1"/>
      <c r="HAD45" s="1"/>
      <c r="HAE45" s="1"/>
      <c r="HAF45" s="1"/>
      <c r="HAG45" s="1"/>
      <c r="HAH45" s="1"/>
      <c r="HAI45" s="1"/>
      <c r="HAJ45" s="1"/>
      <c r="HAK45" s="1"/>
      <c r="HAL45" s="1"/>
      <c r="HAM45" s="1"/>
      <c r="HAN45" s="1"/>
      <c r="HAO45" s="1"/>
      <c r="HAP45" s="1"/>
      <c r="HAQ45" s="1"/>
      <c r="HAR45" s="1"/>
      <c r="HAS45" s="1"/>
      <c r="HAT45" s="1"/>
      <c r="HAU45" s="1"/>
      <c r="HAV45" s="1"/>
      <c r="HAW45" s="1"/>
      <c r="HAX45" s="1"/>
      <c r="HAY45" s="1"/>
      <c r="HAZ45" s="1"/>
      <c r="HBA45" s="1"/>
      <c r="HBB45" s="1"/>
      <c r="HBC45" s="1"/>
      <c r="HBD45" s="1"/>
      <c r="HBE45" s="1"/>
      <c r="HBF45" s="1"/>
      <c r="HBG45" s="1"/>
      <c r="HBH45" s="1"/>
      <c r="HBI45" s="1"/>
      <c r="HBJ45" s="1"/>
      <c r="HBK45" s="1"/>
      <c r="HBL45" s="1"/>
      <c r="HBM45" s="1"/>
      <c r="HBN45" s="1"/>
      <c r="HBO45" s="1"/>
      <c r="HBP45" s="1"/>
      <c r="HBQ45" s="1"/>
      <c r="HBR45" s="1"/>
      <c r="HBS45" s="1"/>
      <c r="HBT45" s="1"/>
      <c r="HBU45" s="1"/>
      <c r="HBV45" s="1"/>
      <c r="HBW45" s="1"/>
      <c r="HBX45" s="1"/>
      <c r="HBY45" s="1"/>
      <c r="HBZ45" s="1"/>
      <c r="HCA45" s="1"/>
      <c r="HCB45" s="1"/>
      <c r="HCC45" s="1"/>
      <c r="HCD45" s="1"/>
      <c r="HCE45" s="1"/>
      <c r="HCF45" s="1"/>
      <c r="HCG45" s="1"/>
      <c r="HCH45" s="1"/>
      <c r="HCI45" s="1"/>
      <c r="HCJ45" s="1"/>
      <c r="HCK45" s="1"/>
      <c r="HCL45" s="1"/>
      <c r="HCM45" s="1"/>
      <c r="HCN45" s="1"/>
      <c r="HCO45" s="1"/>
      <c r="HCP45" s="1"/>
      <c r="HCQ45" s="1"/>
      <c r="HCR45" s="1"/>
      <c r="HCS45" s="1"/>
      <c r="HCT45" s="1"/>
      <c r="HCU45" s="1"/>
      <c r="HCV45" s="1"/>
      <c r="HCW45" s="1"/>
      <c r="HCX45" s="1"/>
      <c r="HCY45" s="1"/>
      <c r="HCZ45" s="1"/>
      <c r="HDA45" s="1"/>
      <c r="HDB45" s="1"/>
      <c r="HDC45" s="1"/>
      <c r="HDD45" s="1"/>
      <c r="HDE45" s="1"/>
      <c r="HDF45" s="1"/>
      <c r="HDG45" s="1"/>
      <c r="HDH45" s="1"/>
      <c r="HDI45" s="1"/>
      <c r="HDJ45" s="1"/>
      <c r="HDK45" s="1"/>
      <c r="HDL45" s="1"/>
      <c r="HDM45" s="1"/>
      <c r="HDN45" s="1"/>
      <c r="HDO45" s="1"/>
      <c r="HDP45" s="1"/>
      <c r="HDQ45" s="1"/>
      <c r="HDR45" s="1"/>
      <c r="HDS45" s="1"/>
      <c r="HDT45" s="1"/>
      <c r="HDU45" s="1"/>
      <c r="HDV45" s="1"/>
      <c r="HDW45" s="1"/>
      <c r="HDX45" s="1"/>
      <c r="HDY45" s="1"/>
      <c r="HDZ45" s="1"/>
      <c r="HEA45" s="1"/>
      <c r="HEB45" s="1"/>
      <c r="HEC45" s="1"/>
      <c r="HED45" s="1"/>
      <c r="HEE45" s="1"/>
      <c r="HEF45" s="1"/>
      <c r="HEG45" s="1"/>
      <c r="HEH45" s="1"/>
      <c r="HEI45" s="1"/>
      <c r="HEJ45" s="1"/>
      <c r="HEK45" s="1"/>
      <c r="HEL45" s="1"/>
      <c r="HEM45" s="1"/>
      <c r="HEN45" s="1"/>
      <c r="HEO45" s="1"/>
      <c r="HEP45" s="1"/>
      <c r="HEQ45" s="1"/>
      <c r="HER45" s="1"/>
      <c r="HES45" s="1"/>
      <c r="HET45" s="1"/>
      <c r="HEU45" s="1"/>
      <c r="HEV45" s="1"/>
      <c r="HEW45" s="1"/>
      <c r="HEX45" s="1"/>
      <c r="HEY45" s="1"/>
      <c r="HEZ45" s="1"/>
      <c r="HFA45" s="1"/>
      <c r="HFB45" s="1"/>
      <c r="HFC45" s="1"/>
      <c r="HFD45" s="1"/>
      <c r="HFE45" s="1"/>
      <c r="HFF45" s="1"/>
      <c r="HFG45" s="1"/>
      <c r="HFH45" s="1"/>
      <c r="HFI45" s="1"/>
      <c r="HFJ45" s="1"/>
      <c r="HFK45" s="1"/>
      <c r="HFL45" s="1"/>
      <c r="HFM45" s="1"/>
      <c r="HFN45" s="1"/>
      <c r="HFO45" s="1"/>
      <c r="HFP45" s="1"/>
      <c r="HFQ45" s="1"/>
      <c r="HFR45" s="1"/>
      <c r="HFS45" s="1"/>
      <c r="HFT45" s="1"/>
      <c r="HFU45" s="1"/>
      <c r="HFV45" s="1"/>
      <c r="HFW45" s="1"/>
      <c r="HFX45" s="1"/>
      <c r="HFY45" s="1"/>
      <c r="HFZ45" s="1"/>
      <c r="HGA45" s="1"/>
      <c r="HGB45" s="1"/>
      <c r="HGC45" s="1"/>
      <c r="HGD45" s="1"/>
      <c r="HGE45" s="1"/>
      <c r="HGF45" s="1"/>
      <c r="HGG45" s="1"/>
      <c r="HGH45" s="1"/>
      <c r="HGI45" s="1"/>
      <c r="HGJ45" s="1"/>
      <c r="HGK45" s="1"/>
      <c r="HGL45" s="1"/>
      <c r="HGM45" s="1"/>
      <c r="HGN45" s="1"/>
      <c r="HGO45" s="1"/>
      <c r="HGP45" s="1"/>
      <c r="HGQ45" s="1"/>
      <c r="HGR45" s="1"/>
      <c r="HGS45" s="1"/>
      <c r="HGT45" s="1"/>
      <c r="HGU45" s="1"/>
      <c r="HGV45" s="1"/>
      <c r="HGW45" s="1"/>
      <c r="HGX45" s="1"/>
      <c r="HGY45" s="1"/>
      <c r="HGZ45" s="1"/>
      <c r="HHA45" s="1"/>
      <c r="HHB45" s="1"/>
      <c r="HHC45" s="1"/>
      <c r="HHD45" s="1"/>
      <c r="HHE45" s="1"/>
      <c r="HHF45" s="1"/>
      <c r="HHG45" s="1"/>
      <c r="HHH45" s="1"/>
      <c r="HHI45" s="1"/>
      <c r="HHJ45" s="1"/>
      <c r="HHK45" s="1"/>
      <c r="HHL45" s="1"/>
      <c r="HHM45" s="1"/>
      <c r="HHN45" s="1"/>
      <c r="HHO45" s="1"/>
      <c r="HHP45" s="1"/>
      <c r="HHQ45" s="1"/>
      <c r="HHR45" s="1"/>
      <c r="HHS45" s="1"/>
      <c r="HHT45" s="1"/>
      <c r="HHU45" s="1"/>
      <c r="HHV45" s="1"/>
      <c r="HHW45" s="1"/>
      <c r="HHX45" s="1"/>
      <c r="HHY45" s="1"/>
      <c r="HHZ45" s="1"/>
      <c r="HIA45" s="1"/>
      <c r="HIB45" s="1"/>
      <c r="HIC45" s="1"/>
      <c r="HID45" s="1"/>
      <c r="HIE45" s="1"/>
      <c r="HIF45" s="1"/>
      <c r="HIG45" s="1"/>
      <c r="HIH45" s="1"/>
      <c r="HII45" s="1"/>
      <c r="HIJ45" s="1"/>
      <c r="HIK45" s="1"/>
      <c r="HIL45" s="1"/>
      <c r="HIM45" s="1"/>
      <c r="HIN45" s="1"/>
      <c r="HIO45" s="1"/>
      <c r="HIP45" s="1"/>
      <c r="HIQ45" s="1"/>
      <c r="HIR45" s="1"/>
      <c r="HIS45" s="1"/>
      <c r="HIT45" s="1"/>
      <c r="HIU45" s="1"/>
      <c r="HIV45" s="1"/>
      <c r="HIW45" s="1"/>
      <c r="HIX45" s="1"/>
      <c r="HIY45" s="1"/>
      <c r="HIZ45" s="1"/>
      <c r="HJA45" s="1"/>
      <c r="HJB45" s="1"/>
      <c r="HJC45" s="1"/>
      <c r="HJD45" s="1"/>
      <c r="HJE45" s="1"/>
      <c r="HJF45" s="1"/>
      <c r="HJG45" s="1"/>
      <c r="HJH45" s="1"/>
      <c r="HJI45" s="1"/>
      <c r="HJJ45" s="1"/>
      <c r="HJK45" s="1"/>
      <c r="HJL45" s="1"/>
      <c r="HJM45" s="1"/>
      <c r="HJN45" s="1"/>
      <c r="HJO45" s="1"/>
      <c r="HJP45" s="1"/>
      <c r="HJQ45" s="1"/>
      <c r="HJR45" s="1"/>
      <c r="HJS45" s="1"/>
      <c r="HJT45" s="1"/>
      <c r="HJU45" s="1"/>
      <c r="HJV45" s="1"/>
      <c r="HJW45" s="1"/>
      <c r="HJX45" s="1"/>
      <c r="HJY45" s="1"/>
      <c r="HJZ45" s="1"/>
      <c r="HKA45" s="1"/>
      <c r="HKB45" s="1"/>
      <c r="HKC45" s="1"/>
      <c r="HKD45" s="1"/>
      <c r="HKE45" s="1"/>
      <c r="HKF45" s="1"/>
      <c r="HKG45" s="1"/>
      <c r="HKH45" s="1"/>
      <c r="HKI45" s="1"/>
      <c r="HKJ45" s="1"/>
      <c r="HKK45" s="1"/>
      <c r="HKL45" s="1"/>
      <c r="HKM45" s="1"/>
      <c r="HKN45" s="1"/>
      <c r="HKO45" s="1"/>
      <c r="HKP45" s="1"/>
      <c r="HKQ45" s="1"/>
      <c r="HKR45" s="1"/>
      <c r="HKS45" s="1"/>
      <c r="HKT45" s="1"/>
      <c r="HKU45" s="1"/>
      <c r="HKV45" s="1"/>
      <c r="HKW45" s="1"/>
      <c r="HKX45" s="1"/>
      <c r="HKY45" s="1"/>
      <c r="HKZ45" s="1"/>
      <c r="HLA45" s="1"/>
      <c r="HLB45" s="1"/>
      <c r="HLC45" s="1"/>
      <c r="HLD45" s="1"/>
      <c r="HLE45" s="1"/>
      <c r="HLF45" s="1"/>
      <c r="HLG45" s="1"/>
      <c r="HLH45" s="1"/>
      <c r="HLI45" s="1"/>
      <c r="HLJ45" s="1"/>
      <c r="HLK45" s="1"/>
      <c r="HLL45" s="1"/>
      <c r="HLM45" s="1"/>
      <c r="HLN45" s="1"/>
      <c r="HLO45" s="1"/>
      <c r="HLP45" s="1"/>
      <c r="HLQ45" s="1"/>
      <c r="HLR45" s="1"/>
      <c r="HLS45" s="1"/>
      <c r="HLT45" s="1"/>
      <c r="HLU45" s="1"/>
      <c r="HLV45" s="1"/>
      <c r="HLW45" s="1"/>
      <c r="HLX45" s="1"/>
      <c r="HLY45" s="1"/>
      <c r="HLZ45" s="1"/>
      <c r="HMA45" s="1"/>
      <c r="HMB45" s="1"/>
      <c r="HMC45" s="1"/>
      <c r="HMD45" s="1"/>
      <c r="HME45" s="1"/>
      <c r="HMF45" s="1"/>
      <c r="HMG45" s="1"/>
      <c r="HMH45" s="1"/>
      <c r="HMI45" s="1"/>
      <c r="HMJ45" s="1"/>
      <c r="HMK45" s="1"/>
      <c r="HML45" s="1"/>
      <c r="HMM45" s="1"/>
      <c r="HMN45" s="1"/>
      <c r="HMO45" s="1"/>
      <c r="HMP45" s="1"/>
      <c r="HMQ45" s="1"/>
      <c r="HMR45" s="1"/>
      <c r="HMS45" s="1"/>
      <c r="HMT45" s="1"/>
      <c r="HMU45" s="1"/>
      <c r="HMV45" s="1"/>
      <c r="HMW45" s="1"/>
      <c r="HMX45" s="1"/>
      <c r="HMY45" s="1"/>
      <c r="HMZ45" s="1"/>
      <c r="HNA45" s="1"/>
      <c r="HNB45" s="1"/>
      <c r="HNC45" s="1"/>
      <c r="HND45" s="1"/>
      <c r="HNE45" s="1"/>
      <c r="HNF45" s="1"/>
      <c r="HNG45" s="1"/>
      <c r="HNH45" s="1"/>
      <c r="HNI45" s="1"/>
      <c r="HNJ45" s="1"/>
      <c r="HNK45" s="1"/>
      <c r="HNL45" s="1"/>
      <c r="HNM45" s="1"/>
      <c r="HNN45" s="1"/>
      <c r="HNO45" s="1"/>
      <c r="HNP45" s="1"/>
      <c r="HNQ45" s="1"/>
      <c r="HNR45" s="1"/>
      <c r="HNS45" s="1"/>
      <c r="HNT45" s="1"/>
      <c r="HNU45" s="1"/>
      <c r="HNV45" s="1"/>
      <c r="HNW45" s="1"/>
      <c r="HNX45" s="1"/>
      <c r="HNY45" s="1"/>
      <c r="HNZ45" s="1"/>
      <c r="HOA45" s="1"/>
      <c r="HOB45" s="1"/>
      <c r="HOC45" s="1"/>
      <c r="HOD45" s="1"/>
      <c r="HOE45" s="1"/>
      <c r="HOF45" s="1"/>
      <c r="HOG45" s="1"/>
      <c r="HOH45" s="1"/>
      <c r="HOI45" s="1"/>
      <c r="HOJ45" s="1"/>
      <c r="HOK45" s="1"/>
      <c r="HOL45" s="1"/>
      <c r="HOM45" s="1"/>
      <c r="HON45" s="1"/>
      <c r="HOO45" s="1"/>
      <c r="HOP45" s="1"/>
      <c r="HOQ45" s="1"/>
      <c r="HOR45" s="1"/>
      <c r="HOS45" s="1"/>
      <c r="HOT45" s="1"/>
      <c r="HOU45" s="1"/>
      <c r="HOV45" s="1"/>
      <c r="HOW45" s="1"/>
      <c r="HOX45" s="1"/>
      <c r="HOY45" s="1"/>
      <c r="HOZ45" s="1"/>
      <c r="HPA45" s="1"/>
      <c r="HPB45" s="1"/>
      <c r="HPC45" s="1"/>
      <c r="HPD45" s="1"/>
      <c r="HPE45" s="1"/>
      <c r="HPF45" s="1"/>
      <c r="HPG45" s="1"/>
      <c r="HPH45" s="1"/>
      <c r="HPI45" s="1"/>
      <c r="HPJ45" s="1"/>
      <c r="HPK45" s="1"/>
      <c r="HPL45" s="1"/>
      <c r="HPM45" s="1"/>
      <c r="HPN45" s="1"/>
      <c r="HPO45" s="1"/>
      <c r="HPP45" s="1"/>
      <c r="HPQ45" s="1"/>
      <c r="HPR45" s="1"/>
      <c r="HPS45" s="1"/>
      <c r="HPT45" s="1"/>
      <c r="HPU45" s="1"/>
      <c r="HPV45" s="1"/>
      <c r="HPW45" s="1"/>
      <c r="HPX45" s="1"/>
      <c r="HPY45" s="1"/>
      <c r="HPZ45" s="1"/>
      <c r="HQA45" s="1"/>
      <c r="HQB45" s="1"/>
      <c r="HQC45" s="1"/>
      <c r="HQD45" s="1"/>
      <c r="HQE45" s="1"/>
      <c r="HQF45" s="1"/>
      <c r="HQG45" s="1"/>
      <c r="HQH45" s="1"/>
      <c r="HQI45" s="1"/>
      <c r="HQJ45" s="1"/>
      <c r="HQK45" s="1"/>
      <c r="HQL45" s="1"/>
      <c r="HQM45" s="1"/>
      <c r="HQN45" s="1"/>
      <c r="HQO45" s="1"/>
      <c r="HQP45" s="1"/>
      <c r="HQQ45" s="1"/>
      <c r="HQR45" s="1"/>
      <c r="HQS45" s="1"/>
      <c r="HQT45" s="1"/>
      <c r="HQU45" s="1"/>
      <c r="HQV45" s="1"/>
      <c r="HQW45" s="1"/>
      <c r="HQX45" s="1"/>
      <c r="HQY45" s="1"/>
      <c r="HQZ45" s="1"/>
      <c r="HRA45" s="1"/>
      <c r="HRB45" s="1"/>
      <c r="HRC45" s="1"/>
      <c r="HRD45" s="1"/>
      <c r="HRE45" s="1"/>
      <c r="HRF45" s="1"/>
      <c r="HRG45" s="1"/>
      <c r="HRH45" s="1"/>
      <c r="HRI45" s="1"/>
      <c r="HRJ45" s="1"/>
      <c r="HRK45" s="1"/>
      <c r="HRL45" s="1"/>
      <c r="HRM45" s="1"/>
      <c r="HRN45" s="1"/>
      <c r="HRO45" s="1"/>
      <c r="HRP45" s="1"/>
      <c r="HRQ45" s="1"/>
      <c r="HRR45" s="1"/>
      <c r="HRS45" s="1"/>
      <c r="HRT45" s="1"/>
      <c r="HRU45" s="1"/>
      <c r="HRV45" s="1"/>
      <c r="HRW45" s="1"/>
      <c r="HRX45" s="1"/>
      <c r="HRY45" s="1"/>
      <c r="HRZ45" s="1"/>
      <c r="HSA45" s="1"/>
      <c r="HSB45" s="1"/>
      <c r="HSC45" s="1"/>
      <c r="HSD45" s="1"/>
      <c r="HSE45" s="1"/>
      <c r="HSF45" s="1"/>
      <c r="HSG45" s="1"/>
      <c r="HSH45" s="1"/>
      <c r="HSI45" s="1"/>
      <c r="HSJ45" s="1"/>
      <c r="HSK45" s="1"/>
      <c r="HSL45" s="1"/>
      <c r="HSM45" s="1"/>
      <c r="HSN45" s="1"/>
      <c r="HSO45" s="1"/>
      <c r="HSP45" s="1"/>
      <c r="HSQ45" s="1"/>
      <c r="HSR45" s="1"/>
      <c r="HSS45" s="1"/>
      <c r="HST45" s="1"/>
      <c r="HSU45" s="1"/>
      <c r="HSV45" s="1"/>
      <c r="HSW45" s="1"/>
      <c r="HSX45" s="1"/>
      <c r="HSY45" s="1"/>
      <c r="HSZ45" s="1"/>
      <c r="HTA45" s="1"/>
      <c r="HTB45" s="1"/>
      <c r="HTC45" s="1"/>
      <c r="HTD45" s="1"/>
      <c r="HTE45" s="1"/>
      <c r="HTF45" s="1"/>
      <c r="HTG45" s="1"/>
      <c r="HTH45" s="1"/>
      <c r="HTI45" s="1"/>
      <c r="HTJ45" s="1"/>
      <c r="HTK45" s="1"/>
      <c r="HTL45" s="1"/>
      <c r="HTM45" s="1"/>
      <c r="HTN45" s="1"/>
      <c r="HTO45" s="1"/>
      <c r="HTP45" s="1"/>
      <c r="HTQ45" s="1"/>
      <c r="HTR45" s="1"/>
      <c r="HTS45" s="1"/>
      <c r="HTT45" s="1"/>
      <c r="HTU45" s="1"/>
      <c r="HTV45" s="1"/>
      <c r="HTW45" s="1"/>
      <c r="HTX45" s="1"/>
      <c r="HTY45" s="1"/>
      <c r="HTZ45" s="1"/>
      <c r="HUA45" s="1"/>
      <c r="HUB45" s="1"/>
      <c r="HUC45" s="1"/>
      <c r="HUD45" s="1"/>
      <c r="HUE45" s="1"/>
      <c r="HUF45" s="1"/>
      <c r="HUG45" s="1"/>
      <c r="HUH45" s="1"/>
      <c r="HUI45" s="1"/>
      <c r="HUJ45" s="1"/>
      <c r="HUK45" s="1"/>
      <c r="HUL45" s="1"/>
      <c r="HUM45" s="1"/>
      <c r="HUN45" s="1"/>
      <c r="HUO45" s="1"/>
      <c r="HUP45" s="1"/>
      <c r="HUQ45" s="1"/>
      <c r="HUR45" s="1"/>
      <c r="HUS45" s="1"/>
      <c r="HUT45" s="1"/>
      <c r="HUU45" s="1"/>
      <c r="HUV45" s="1"/>
      <c r="HUW45" s="1"/>
      <c r="HUX45" s="1"/>
      <c r="HUY45" s="1"/>
      <c r="HUZ45" s="1"/>
      <c r="HVA45" s="1"/>
      <c r="HVB45" s="1"/>
      <c r="HVC45" s="1"/>
      <c r="HVD45" s="1"/>
      <c r="HVE45" s="1"/>
      <c r="HVF45" s="1"/>
      <c r="HVG45" s="1"/>
      <c r="HVH45" s="1"/>
      <c r="HVI45" s="1"/>
      <c r="HVJ45" s="1"/>
      <c r="HVK45" s="1"/>
      <c r="HVL45" s="1"/>
      <c r="HVM45" s="1"/>
      <c r="HVN45" s="1"/>
      <c r="HVO45" s="1"/>
      <c r="HVP45" s="1"/>
      <c r="HVQ45" s="1"/>
      <c r="HVR45" s="1"/>
      <c r="HVS45" s="1"/>
      <c r="HVT45" s="1"/>
      <c r="HVU45" s="1"/>
      <c r="HVV45" s="1"/>
      <c r="HVW45" s="1"/>
      <c r="HVX45" s="1"/>
      <c r="HVY45" s="1"/>
      <c r="HVZ45" s="1"/>
      <c r="HWA45" s="1"/>
      <c r="HWB45" s="1"/>
      <c r="HWC45" s="1"/>
      <c r="HWD45" s="1"/>
      <c r="HWE45" s="1"/>
      <c r="HWF45" s="1"/>
      <c r="HWG45" s="1"/>
      <c r="HWH45" s="1"/>
      <c r="HWI45" s="1"/>
      <c r="HWJ45" s="1"/>
      <c r="HWK45" s="1"/>
      <c r="HWL45" s="1"/>
      <c r="HWM45" s="1"/>
      <c r="HWN45" s="1"/>
      <c r="HWO45" s="1"/>
      <c r="HWP45" s="1"/>
      <c r="HWQ45" s="1"/>
      <c r="HWR45" s="1"/>
      <c r="HWS45" s="1"/>
      <c r="HWT45" s="1"/>
      <c r="HWU45" s="1"/>
      <c r="HWV45" s="1"/>
      <c r="HWW45" s="1"/>
      <c r="HWX45" s="1"/>
      <c r="HWY45" s="1"/>
      <c r="HWZ45" s="1"/>
      <c r="HXA45" s="1"/>
      <c r="HXB45" s="1"/>
      <c r="HXC45" s="1"/>
      <c r="HXD45" s="1"/>
      <c r="HXE45" s="1"/>
      <c r="HXF45" s="1"/>
      <c r="HXG45" s="1"/>
      <c r="HXH45" s="1"/>
      <c r="HXI45" s="1"/>
      <c r="HXJ45" s="1"/>
      <c r="HXK45" s="1"/>
      <c r="HXL45" s="1"/>
      <c r="HXM45" s="1"/>
      <c r="HXN45" s="1"/>
      <c r="HXO45" s="1"/>
      <c r="HXP45" s="1"/>
      <c r="HXQ45" s="1"/>
      <c r="HXR45" s="1"/>
      <c r="HXS45" s="1"/>
      <c r="HXT45" s="1"/>
      <c r="HXU45" s="1"/>
      <c r="HXV45" s="1"/>
      <c r="HXW45" s="1"/>
      <c r="HXX45" s="1"/>
      <c r="HXY45" s="1"/>
      <c r="HXZ45" s="1"/>
      <c r="HYA45" s="1"/>
      <c r="HYB45" s="1"/>
      <c r="HYC45" s="1"/>
      <c r="HYD45" s="1"/>
      <c r="HYE45" s="1"/>
      <c r="HYF45" s="1"/>
      <c r="HYG45" s="1"/>
      <c r="HYH45" s="1"/>
      <c r="HYI45" s="1"/>
      <c r="HYJ45" s="1"/>
      <c r="HYK45" s="1"/>
      <c r="HYL45" s="1"/>
      <c r="HYM45" s="1"/>
      <c r="HYN45" s="1"/>
      <c r="HYO45" s="1"/>
      <c r="HYP45" s="1"/>
      <c r="HYQ45" s="1"/>
      <c r="HYR45" s="1"/>
      <c r="HYS45" s="1"/>
      <c r="HYT45" s="1"/>
      <c r="HYU45" s="1"/>
      <c r="HYV45" s="1"/>
      <c r="HYW45" s="1"/>
      <c r="HYX45" s="1"/>
      <c r="HYY45" s="1"/>
      <c r="HYZ45" s="1"/>
      <c r="HZA45" s="1"/>
      <c r="HZB45" s="1"/>
      <c r="HZC45" s="1"/>
      <c r="HZD45" s="1"/>
      <c r="HZE45" s="1"/>
      <c r="HZF45" s="1"/>
      <c r="HZG45" s="1"/>
      <c r="HZH45" s="1"/>
      <c r="HZI45" s="1"/>
      <c r="HZJ45" s="1"/>
      <c r="HZK45" s="1"/>
      <c r="HZL45" s="1"/>
      <c r="HZM45" s="1"/>
      <c r="HZN45" s="1"/>
      <c r="HZO45" s="1"/>
      <c r="HZP45" s="1"/>
      <c r="HZQ45" s="1"/>
      <c r="HZR45" s="1"/>
      <c r="HZS45" s="1"/>
      <c r="HZT45" s="1"/>
      <c r="HZU45" s="1"/>
      <c r="HZV45" s="1"/>
      <c r="HZW45" s="1"/>
      <c r="HZX45" s="1"/>
      <c r="HZY45" s="1"/>
      <c r="HZZ45" s="1"/>
      <c r="IAA45" s="1"/>
      <c r="IAB45" s="1"/>
      <c r="IAC45" s="1"/>
      <c r="IAD45" s="1"/>
      <c r="IAE45" s="1"/>
      <c r="IAF45" s="1"/>
      <c r="IAG45" s="1"/>
      <c r="IAH45" s="1"/>
      <c r="IAI45" s="1"/>
      <c r="IAJ45" s="1"/>
      <c r="IAK45" s="1"/>
      <c r="IAL45" s="1"/>
      <c r="IAM45" s="1"/>
      <c r="IAN45" s="1"/>
      <c r="IAO45" s="1"/>
      <c r="IAP45" s="1"/>
      <c r="IAQ45" s="1"/>
      <c r="IAR45" s="1"/>
      <c r="IAS45" s="1"/>
      <c r="IAT45" s="1"/>
      <c r="IAU45" s="1"/>
      <c r="IAV45" s="1"/>
      <c r="IAW45" s="1"/>
      <c r="IAX45" s="1"/>
      <c r="IAY45" s="1"/>
      <c r="IAZ45" s="1"/>
      <c r="IBA45" s="1"/>
      <c r="IBB45" s="1"/>
      <c r="IBC45" s="1"/>
      <c r="IBD45" s="1"/>
      <c r="IBE45" s="1"/>
      <c r="IBF45" s="1"/>
      <c r="IBG45" s="1"/>
      <c r="IBH45" s="1"/>
      <c r="IBI45" s="1"/>
      <c r="IBJ45" s="1"/>
      <c r="IBK45" s="1"/>
      <c r="IBL45" s="1"/>
      <c r="IBM45" s="1"/>
      <c r="IBN45" s="1"/>
      <c r="IBO45" s="1"/>
      <c r="IBP45" s="1"/>
      <c r="IBQ45" s="1"/>
      <c r="IBR45" s="1"/>
      <c r="IBS45" s="1"/>
      <c r="IBT45" s="1"/>
      <c r="IBU45" s="1"/>
      <c r="IBV45" s="1"/>
      <c r="IBW45" s="1"/>
      <c r="IBX45" s="1"/>
      <c r="IBY45" s="1"/>
      <c r="IBZ45" s="1"/>
      <c r="ICA45" s="1"/>
      <c r="ICB45" s="1"/>
      <c r="ICC45" s="1"/>
      <c r="ICD45" s="1"/>
      <c r="ICE45" s="1"/>
      <c r="ICF45" s="1"/>
      <c r="ICG45" s="1"/>
      <c r="ICH45" s="1"/>
      <c r="ICI45" s="1"/>
      <c r="ICJ45" s="1"/>
      <c r="ICK45" s="1"/>
      <c r="ICL45" s="1"/>
      <c r="ICM45" s="1"/>
      <c r="ICN45" s="1"/>
      <c r="ICO45" s="1"/>
      <c r="ICP45" s="1"/>
      <c r="ICQ45" s="1"/>
      <c r="ICR45" s="1"/>
      <c r="ICS45" s="1"/>
      <c r="ICT45" s="1"/>
      <c r="ICU45" s="1"/>
      <c r="ICV45" s="1"/>
      <c r="ICW45" s="1"/>
      <c r="ICX45" s="1"/>
      <c r="ICY45" s="1"/>
      <c r="ICZ45" s="1"/>
      <c r="IDA45" s="1"/>
      <c r="IDB45" s="1"/>
      <c r="IDC45" s="1"/>
      <c r="IDD45" s="1"/>
      <c r="IDE45" s="1"/>
      <c r="IDF45" s="1"/>
      <c r="IDG45" s="1"/>
      <c r="IDH45" s="1"/>
      <c r="IDI45" s="1"/>
      <c r="IDJ45" s="1"/>
      <c r="IDK45" s="1"/>
      <c r="IDL45" s="1"/>
      <c r="IDM45" s="1"/>
      <c r="IDN45" s="1"/>
      <c r="IDO45" s="1"/>
      <c r="IDP45" s="1"/>
      <c r="IDQ45" s="1"/>
      <c r="IDR45" s="1"/>
      <c r="IDS45" s="1"/>
      <c r="IDT45" s="1"/>
      <c r="IDU45" s="1"/>
      <c r="IDV45" s="1"/>
      <c r="IDW45" s="1"/>
      <c r="IDX45" s="1"/>
      <c r="IDY45" s="1"/>
      <c r="IDZ45" s="1"/>
      <c r="IEA45" s="1"/>
      <c r="IEB45" s="1"/>
      <c r="IEC45" s="1"/>
      <c r="IED45" s="1"/>
      <c r="IEE45" s="1"/>
      <c r="IEF45" s="1"/>
      <c r="IEG45" s="1"/>
      <c r="IEH45" s="1"/>
      <c r="IEI45" s="1"/>
      <c r="IEJ45" s="1"/>
      <c r="IEK45" s="1"/>
      <c r="IEL45" s="1"/>
      <c r="IEM45" s="1"/>
      <c r="IEN45" s="1"/>
      <c r="IEO45" s="1"/>
      <c r="IEP45" s="1"/>
      <c r="IEQ45" s="1"/>
      <c r="IER45" s="1"/>
      <c r="IES45" s="1"/>
      <c r="IET45" s="1"/>
      <c r="IEU45" s="1"/>
      <c r="IEV45" s="1"/>
      <c r="IEW45" s="1"/>
      <c r="IEX45" s="1"/>
      <c r="IEY45" s="1"/>
      <c r="IEZ45" s="1"/>
      <c r="IFA45" s="1"/>
      <c r="IFB45" s="1"/>
      <c r="IFC45" s="1"/>
      <c r="IFD45" s="1"/>
      <c r="IFE45" s="1"/>
      <c r="IFF45" s="1"/>
      <c r="IFG45" s="1"/>
      <c r="IFH45" s="1"/>
      <c r="IFI45" s="1"/>
      <c r="IFJ45" s="1"/>
      <c r="IFK45" s="1"/>
      <c r="IFL45" s="1"/>
      <c r="IFM45" s="1"/>
      <c r="IFN45" s="1"/>
      <c r="IFO45" s="1"/>
      <c r="IFP45" s="1"/>
      <c r="IFQ45" s="1"/>
      <c r="IFR45" s="1"/>
      <c r="IFS45" s="1"/>
      <c r="IFT45" s="1"/>
      <c r="IFU45" s="1"/>
      <c r="IFV45" s="1"/>
      <c r="IFW45" s="1"/>
      <c r="IFX45" s="1"/>
      <c r="IFY45" s="1"/>
      <c r="IFZ45" s="1"/>
      <c r="IGA45" s="1"/>
      <c r="IGB45" s="1"/>
      <c r="IGC45" s="1"/>
      <c r="IGD45" s="1"/>
      <c r="IGE45" s="1"/>
      <c r="IGF45" s="1"/>
      <c r="IGG45" s="1"/>
      <c r="IGH45" s="1"/>
      <c r="IGI45" s="1"/>
      <c r="IGJ45" s="1"/>
      <c r="IGK45" s="1"/>
      <c r="IGL45" s="1"/>
      <c r="IGM45" s="1"/>
      <c r="IGN45" s="1"/>
      <c r="IGO45" s="1"/>
      <c r="IGP45" s="1"/>
      <c r="IGQ45" s="1"/>
      <c r="IGR45" s="1"/>
      <c r="IGS45" s="1"/>
      <c r="IGT45" s="1"/>
      <c r="IGU45" s="1"/>
      <c r="IGV45" s="1"/>
      <c r="IGW45" s="1"/>
      <c r="IGX45" s="1"/>
      <c r="IGY45" s="1"/>
      <c r="IGZ45" s="1"/>
      <c r="IHA45" s="1"/>
      <c r="IHB45" s="1"/>
      <c r="IHC45" s="1"/>
      <c r="IHD45" s="1"/>
      <c r="IHE45" s="1"/>
      <c r="IHF45" s="1"/>
      <c r="IHG45" s="1"/>
      <c r="IHH45" s="1"/>
      <c r="IHI45" s="1"/>
      <c r="IHJ45" s="1"/>
      <c r="IHK45" s="1"/>
      <c r="IHL45" s="1"/>
      <c r="IHM45" s="1"/>
      <c r="IHN45" s="1"/>
      <c r="IHO45" s="1"/>
      <c r="IHP45" s="1"/>
      <c r="IHQ45" s="1"/>
      <c r="IHR45" s="1"/>
      <c r="IHS45" s="1"/>
      <c r="IHT45" s="1"/>
      <c r="IHU45" s="1"/>
      <c r="IHV45" s="1"/>
      <c r="IHW45" s="1"/>
      <c r="IHX45" s="1"/>
      <c r="IHY45" s="1"/>
      <c r="IHZ45" s="1"/>
      <c r="IIA45" s="1"/>
      <c r="IIB45" s="1"/>
      <c r="IIC45" s="1"/>
      <c r="IID45" s="1"/>
      <c r="IIE45" s="1"/>
      <c r="IIF45" s="1"/>
      <c r="IIG45" s="1"/>
      <c r="IIH45" s="1"/>
      <c r="III45" s="1"/>
      <c r="IIJ45" s="1"/>
      <c r="IIK45" s="1"/>
      <c r="IIL45" s="1"/>
      <c r="IIM45" s="1"/>
      <c r="IIN45" s="1"/>
      <c r="IIO45" s="1"/>
      <c r="IIP45" s="1"/>
      <c r="IIQ45" s="1"/>
      <c r="IIR45" s="1"/>
      <c r="IIS45" s="1"/>
      <c r="IIT45" s="1"/>
      <c r="IIU45" s="1"/>
      <c r="IIV45" s="1"/>
      <c r="IIW45" s="1"/>
      <c r="IIX45" s="1"/>
      <c r="IIY45" s="1"/>
      <c r="IIZ45" s="1"/>
      <c r="IJA45" s="1"/>
      <c r="IJB45" s="1"/>
      <c r="IJC45" s="1"/>
      <c r="IJD45" s="1"/>
      <c r="IJE45" s="1"/>
      <c r="IJF45" s="1"/>
      <c r="IJG45" s="1"/>
      <c r="IJH45" s="1"/>
      <c r="IJI45" s="1"/>
      <c r="IJJ45" s="1"/>
      <c r="IJK45" s="1"/>
      <c r="IJL45" s="1"/>
      <c r="IJM45" s="1"/>
      <c r="IJN45" s="1"/>
      <c r="IJO45" s="1"/>
      <c r="IJP45" s="1"/>
      <c r="IJQ45" s="1"/>
      <c r="IJR45" s="1"/>
      <c r="IJS45" s="1"/>
      <c r="IJT45" s="1"/>
      <c r="IJU45" s="1"/>
      <c r="IJV45" s="1"/>
      <c r="IJW45" s="1"/>
      <c r="IJX45" s="1"/>
      <c r="IJY45" s="1"/>
      <c r="IJZ45" s="1"/>
      <c r="IKA45" s="1"/>
      <c r="IKB45" s="1"/>
      <c r="IKC45" s="1"/>
      <c r="IKD45" s="1"/>
      <c r="IKE45" s="1"/>
      <c r="IKF45" s="1"/>
      <c r="IKG45" s="1"/>
      <c r="IKH45" s="1"/>
      <c r="IKI45" s="1"/>
      <c r="IKJ45" s="1"/>
      <c r="IKK45" s="1"/>
      <c r="IKL45" s="1"/>
      <c r="IKM45" s="1"/>
      <c r="IKN45" s="1"/>
      <c r="IKO45" s="1"/>
      <c r="IKP45" s="1"/>
      <c r="IKQ45" s="1"/>
      <c r="IKR45" s="1"/>
      <c r="IKS45" s="1"/>
      <c r="IKT45" s="1"/>
      <c r="IKU45" s="1"/>
      <c r="IKV45" s="1"/>
      <c r="IKW45" s="1"/>
      <c r="IKX45" s="1"/>
      <c r="IKY45" s="1"/>
      <c r="IKZ45" s="1"/>
      <c r="ILA45" s="1"/>
      <c r="ILB45" s="1"/>
      <c r="ILC45" s="1"/>
      <c r="ILD45" s="1"/>
      <c r="ILE45" s="1"/>
      <c r="ILF45" s="1"/>
      <c r="ILG45" s="1"/>
      <c r="ILH45" s="1"/>
      <c r="ILI45" s="1"/>
      <c r="ILJ45" s="1"/>
      <c r="ILK45" s="1"/>
      <c r="ILL45" s="1"/>
      <c r="ILM45" s="1"/>
      <c r="ILN45" s="1"/>
      <c r="ILO45" s="1"/>
      <c r="ILP45" s="1"/>
      <c r="ILQ45" s="1"/>
      <c r="ILR45" s="1"/>
      <c r="ILS45" s="1"/>
      <c r="ILT45" s="1"/>
      <c r="ILU45" s="1"/>
      <c r="ILV45" s="1"/>
      <c r="ILW45" s="1"/>
      <c r="ILX45" s="1"/>
      <c r="ILY45" s="1"/>
      <c r="ILZ45" s="1"/>
      <c r="IMA45" s="1"/>
      <c r="IMB45" s="1"/>
      <c r="IMC45" s="1"/>
      <c r="IMD45" s="1"/>
      <c r="IME45" s="1"/>
      <c r="IMF45" s="1"/>
      <c r="IMG45" s="1"/>
      <c r="IMH45" s="1"/>
      <c r="IMI45" s="1"/>
      <c r="IMJ45" s="1"/>
      <c r="IMK45" s="1"/>
      <c r="IML45" s="1"/>
      <c r="IMM45" s="1"/>
      <c r="IMN45" s="1"/>
      <c r="IMO45" s="1"/>
      <c r="IMP45" s="1"/>
      <c r="IMQ45" s="1"/>
      <c r="IMR45" s="1"/>
      <c r="IMS45" s="1"/>
      <c r="IMT45" s="1"/>
      <c r="IMU45" s="1"/>
      <c r="IMV45" s="1"/>
      <c r="IMW45" s="1"/>
      <c r="IMX45" s="1"/>
      <c r="IMY45" s="1"/>
      <c r="IMZ45" s="1"/>
      <c r="INA45" s="1"/>
      <c r="INB45" s="1"/>
      <c r="INC45" s="1"/>
      <c r="IND45" s="1"/>
      <c r="INE45" s="1"/>
      <c r="INF45" s="1"/>
      <c r="ING45" s="1"/>
      <c r="INH45" s="1"/>
      <c r="INI45" s="1"/>
      <c r="INJ45" s="1"/>
      <c r="INK45" s="1"/>
      <c r="INL45" s="1"/>
      <c r="INM45" s="1"/>
      <c r="INN45" s="1"/>
      <c r="INO45" s="1"/>
      <c r="INP45" s="1"/>
      <c r="INQ45" s="1"/>
      <c r="INR45" s="1"/>
      <c r="INS45" s="1"/>
      <c r="INT45" s="1"/>
      <c r="INU45" s="1"/>
      <c r="INV45" s="1"/>
      <c r="INW45" s="1"/>
      <c r="INX45" s="1"/>
      <c r="INY45" s="1"/>
      <c r="INZ45" s="1"/>
      <c r="IOA45" s="1"/>
      <c r="IOB45" s="1"/>
      <c r="IOC45" s="1"/>
      <c r="IOD45" s="1"/>
      <c r="IOE45" s="1"/>
      <c r="IOF45" s="1"/>
      <c r="IOG45" s="1"/>
      <c r="IOH45" s="1"/>
      <c r="IOI45" s="1"/>
      <c r="IOJ45" s="1"/>
      <c r="IOK45" s="1"/>
      <c r="IOL45" s="1"/>
      <c r="IOM45" s="1"/>
      <c r="ION45" s="1"/>
      <c r="IOO45" s="1"/>
      <c r="IOP45" s="1"/>
      <c r="IOQ45" s="1"/>
      <c r="IOR45" s="1"/>
      <c r="IOS45" s="1"/>
      <c r="IOT45" s="1"/>
      <c r="IOU45" s="1"/>
      <c r="IOV45" s="1"/>
      <c r="IOW45" s="1"/>
      <c r="IOX45" s="1"/>
      <c r="IOY45" s="1"/>
      <c r="IOZ45" s="1"/>
      <c r="IPA45" s="1"/>
      <c r="IPB45" s="1"/>
      <c r="IPC45" s="1"/>
      <c r="IPD45" s="1"/>
      <c r="IPE45" s="1"/>
      <c r="IPF45" s="1"/>
      <c r="IPG45" s="1"/>
      <c r="IPH45" s="1"/>
      <c r="IPI45" s="1"/>
      <c r="IPJ45" s="1"/>
      <c r="IPK45" s="1"/>
      <c r="IPL45" s="1"/>
      <c r="IPM45" s="1"/>
      <c r="IPN45" s="1"/>
      <c r="IPO45" s="1"/>
      <c r="IPP45" s="1"/>
      <c r="IPQ45" s="1"/>
      <c r="IPR45" s="1"/>
      <c r="IPS45" s="1"/>
      <c r="IPT45" s="1"/>
      <c r="IPU45" s="1"/>
      <c r="IPV45" s="1"/>
      <c r="IPW45" s="1"/>
      <c r="IPX45" s="1"/>
      <c r="IPY45" s="1"/>
      <c r="IPZ45" s="1"/>
      <c r="IQA45" s="1"/>
      <c r="IQB45" s="1"/>
      <c r="IQC45" s="1"/>
      <c r="IQD45" s="1"/>
      <c r="IQE45" s="1"/>
      <c r="IQF45" s="1"/>
      <c r="IQG45" s="1"/>
      <c r="IQH45" s="1"/>
      <c r="IQI45" s="1"/>
      <c r="IQJ45" s="1"/>
      <c r="IQK45" s="1"/>
      <c r="IQL45" s="1"/>
      <c r="IQM45" s="1"/>
      <c r="IQN45" s="1"/>
      <c r="IQO45" s="1"/>
      <c r="IQP45" s="1"/>
      <c r="IQQ45" s="1"/>
      <c r="IQR45" s="1"/>
      <c r="IQS45" s="1"/>
      <c r="IQT45" s="1"/>
      <c r="IQU45" s="1"/>
      <c r="IQV45" s="1"/>
      <c r="IQW45" s="1"/>
      <c r="IQX45" s="1"/>
      <c r="IQY45" s="1"/>
      <c r="IQZ45" s="1"/>
      <c r="IRA45" s="1"/>
      <c r="IRB45" s="1"/>
      <c r="IRC45" s="1"/>
      <c r="IRD45" s="1"/>
      <c r="IRE45" s="1"/>
      <c r="IRF45" s="1"/>
      <c r="IRG45" s="1"/>
      <c r="IRH45" s="1"/>
      <c r="IRI45" s="1"/>
      <c r="IRJ45" s="1"/>
      <c r="IRK45" s="1"/>
      <c r="IRL45" s="1"/>
      <c r="IRM45" s="1"/>
      <c r="IRN45" s="1"/>
      <c r="IRO45" s="1"/>
      <c r="IRP45" s="1"/>
      <c r="IRQ45" s="1"/>
      <c r="IRR45" s="1"/>
      <c r="IRS45" s="1"/>
      <c r="IRT45" s="1"/>
      <c r="IRU45" s="1"/>
      <c r="IRV45" s="1"/>
      <c r="IRW45" s="1"/>
      <c r="IRX45" s="1"/>
      <c r="IRY45" s="1"/>
      <c r="IRZ45" s="1"/>
      <c r="ISA45" s="1"/>
      <c r="ISB45" s="1"/>
      <c r="ISC45" s="1"/>
      <c r="ISD45" s="1"/>
      <c r="ISE45" s="1"/>
      <c r="ISF45" s="1"/>
      <c r="ISG45" s="1"/>
      <c r="ISH45" s="1"/>
      <c r="ISI45" s="1"/>
      <c r="ISJ45" s="1"/>
      <c r="ISK45" s="1"/>
      <c r="ISL45" s="1"/>
      <c r="ISM45" s="1"/>
      <c r="ISN45" s="1"/>
      <c r="ISO45" s="1"/>
      <c r="ISP45" s="1"/>
      <c r="ISQ45" s="1"/>
      <c r="ISR45" s="1"/>
      <c r="ISS45" s="1"/>
      <c r="IST45" s="1"/>
      <c r="ISU45" s="1"/>
      <c r="ISV45" s="1"/>
      <c r="ISW45" s="1"/>
      <c r="ISX45" s="1"/>
      <c r="ISY45" s="1"/>
      <c r="ISZ45" s="1"/>
      <c r="ITA45" s="1"/>
      <c r="ITB45" s="1"/>
      <c r="ITC45" s="1"/>
      <c r="ITD45" s="1"/>
      <c r="ITE45" s="1"/>
      <c r="ITF45" s="1"/>
      <c r="ITG45" s="1"/>
      <c r="ITH45" s="1"/>
      <c r="ITI45" s="1"/>
      <c r="ITJ45" s="1"/>
      <c r="ITK45" s="1"/>
      <c r="ITL45" s="1"/>
      <c r="ITM45" s="1"/>
      <c r="ITN45" s="1"/>
      <c r="ITO45" s="1"/>
      <c r="ITP45" s="1"/>
      <c r="ITQ45" s="1"/>
      <c r="ITR45" s="1"/>
      <c r="ITS45" s="1"/>
      <c r="ITT45" s="1"/>
      <c r="ITU45" s="1"/>
      <c r="ITV45" s="1"/>
      <c r="ITW45" s="1"/>
      <c r="ITX45" s="1"/>
      <c r="ITY45" s="1"/>
      <c r="ITZ45" s="1"/>
      <c r="IUA45" s="1"/>
      <c r="IUB45" s="1"/>
      <c r="IUC45" s="1"/>
      <c r="IUD45" s="1"/>
      <c r="IUE45" s="1"/>
      <c r="IUF45" s="1"/>
      <c r="IUG45" s="1"/>
      <c r="IUH45" s="1"/>
      <c r="IUI45" s="1"/>
      <c r="IUJ45" s="1"/>
      <c r="IUK45" s="1"/>
      <c r="IUL45" s="1"/>
      <c r="IUM45" s="1"/>
      <c r="IUN45" s="1"/>
      <c r="IUO45" s="1"/>
      <c r="IUP45" s="1"/>
      <c r="IUQ45" s="1"/>
      <c r="IUR45" s="1"/>
      <c r="IUS45" s="1"/>
      <c r="IUT45" s="1"/>
      <c r="IUU45" s="1"/>
      <c r="IUV45" s="1"/>
      <c r="IUW45" s="1"/>
      <c r="IUX45" s="1"/>
      <c r="IUY45" s="1"/>
      <c r="IUZ45" s="1"/>
      <c r="IVA45" s="1"/>
      <c r="IVB45" s="1"/>
      <c r="IVC45" s="1"/>
      <c r="IVD45" s="1"/>
      <c r="IVE45" s="1"/>
      <c r="IVF45" s="1"/>
      <c r="IVG45" s="1"/>
      <c r="IVH45" s="1"/>
      <c r="IVI45" s="1"/>
      <c r="IVJ45" s="1"/>
      <c r="IVK45" s="1"/>
      <c r="IVL45" s="1"/>
      <c r="IVM45" s="1"/>
      <c r="IVN45" s="1"/>
      <c r="IVO45" s="1"/>
      <c r="IVP45" s="1"/>
      <c r="IVQ45" s="1"/>
      <c r="IVR45" s="1"/>
      <c r="IVS45" s="1"/>
      <c r="IVT45" s="1"/>
      <c r="IVU45" s="1"/>
      <c r="IVV45" s="1"/>
      <c r="IVW45" s="1"/>
      <c r="IVX45" s="1"/>
      <c r="IVY45" s="1"/>
      <c r="IVZ45" s="1"/>
      <c r="IWA45" s="1"/>
      <c r="IWB45" s="1"/>
      <c r="IWC45" s="1"/>
      <c r="IWD45" s="1"/>
      <c r="IWE45" s="1"/>
      <c r="IWF45" s="1"/>
      <c r="IWG45" s="1"/>
      <c r="IWH45" s="1"/>
      <c r="IWI45" s="1"/>
      <c r="IWJ45" s="1"/>
      <c r="IWK45" s="1"/>
      <c r="IWL45" s="1"/>
      <c r="IWM45" s="1"/>
      <c r="IWN45" s="1"/>
      <c r="IWO45" s="1"/>
      <c r="IWP45" s="1"/>
      <c r="IWQ45" s="1"/>
      <c r="IWR45" s="1"/>
      <c r="IWS45" s="1"/>
      <c r="IWT45" s="1"/>
      <c r="IWU45" s="1"/>
      <c r="IWV45" s="1"/>
      <c r="IWW45" s="1"/>
      <c r="IWX45" s="1"/>
      <c r="IWY45" s="1"/>
      <c r="IWZ45" s="1"/>
      <c r="IXA45" s="1"/>
      <c r="IXB45" s="1"/>
      <c r="IXC45" s="1"/>
      <c r="IXD45" s="1"/>
      <c r="IXE45" s="1"/>
      <c r="IXF45" s="1"/>
      <c r="IXG45" s="1"/>
      <c r="IXH45" s="1"/>
      <c r="IXI45" s="1"/>
      <c r="IXJ45" s="1"/>
      <c r="IXK45" s="1"/>
      <c r="IXL45" s="1"/>
      <c r="IXM45" s="1"/>
      <c r="IXN45" s="1"/>
      <c r="IXO45" s="1"/>
      <c r="IXP45" s="1"/>
      <c r="IXQ45" s="1"/>
      <c r="IXR45" s="1"/>
      <c r="IXS45" s="1"/>
      <c r="IXT45" s="1"/>
      <c r="IXU45" s="1"/>
      <c r="IXV45" s="1"/>
      <c r="IXW45" s="1"/>
      <c r="IXX45" s="1"/>
      <c r="IXY45" s="1"/>
      <c r="IXZ45" s="1"/>
      <c r="IYA45" s="1"/>
      <c r="IYB45" s="1"/>
      <c r="IYC45" s="1"/>
      <c r="IYD45" s="1"/>
      <c r="IYE45" s="1"/>
      <c r="IYF45" s="1"/>
      <c r="IYG45" s="1"/>
      <c r="IYH45" s="1"/>
      <c r="IYI45" s="1"/>
      <c r="IYJ45" s="1"/>
      <c r="IYK45" s="1"/>
      <c r="IYL45" s="1"/>
      <c r="IYM45" s="1"/>
      <c r="IYN45" s="1"/>
      <c r="IYO45" s="1"/>
      <c r="IYP45" s="1"/>
      <c r="IYQ45" s="1"/>
      <c r="IYR45" s="1"/>
      <c r="IYS45" s="1"/>
      <c r="IYT45" s="1"/>
      <c r="IYU45" s="1"/>
      <c r="IYV45" s="1"/>
      <c r="IYW45" s="1"/>
      <c r="IYX45" s="1"/>
      <c r="IYY45" s="1"/>
      <c r="IYZ45" s="1"/>
      <c r="IZA45" s="1"/>
      <c r="IZB45" s="1"/>
      <c r="IZC45" s="1"/>
      <c r="IZD45" s="1"/>
      <c r="IZE45" s="1"/>
      <c r="IZF45" s="1"/>
      <c r="IZG45" s="1"/>
      <c r="IZH45" s="1"/>
      <c r="IZI45" s="1"/>
      <c r="IZJ45" s="1"/>
      <c r="IZK45" s="1"/>
      <c r="IZL45" s="1"/>
      <c r="IZM45" s="1"/>
      <c r="IZN45" s="1"/>
      <c r="IZO45" s="1"/>
      <c r="IZP45" s="1"/>
      <c r="IZQ45" s="1"/>
      <c r="IZR45" s="1"/>
      <c r="IZS45" s="1"/>
      <c r="IZT45" s="1"/>
      <c r="IZU45" s="1"/>
      <c r="IZV45" s="1"/>
      <c r="IZW45" s="1"/>
      <c r="IZX45" s="1"/>
      <c r="IZY45" s="1"/>
      <c r="IZZ45" s="1"/>
      <c r="JAA45" s="1"/>
      <c r="JAB45" s="1"/>
      <c r="JAC45" s="1"/>
      <c r="JAD45" s="1"/>
      <c r="JAE45" s="1"/>
      <c r="JAF45" s="1"/>
      <c r="JAG45" s="1"/>
      <c r="JAH45" s="1"/>
      <c r="JAI45" s="1"/>
      <c r="JAJ45" s="1"/>
      <c r="JAK45" s="1"/>
      <c r="JAL45" s="1"/>
      <c r="JAM45" s="1"/>
      <c r="JAN45" s="1"/>
      <c r="JAO45" s="1"/>
      <c r="JAP45" s="1"/>
      <c r="JAQ45" s="1"/>
      <c r="JAR45" s="1"/>
      <c r="JAS45" s="1"/>
      <c r="JAT45" s="1"/>
      <c r="JAU45" s="1"/>
      <c r="JAV45" s="1"/>
      <c r="JAW45" s="1"/>
      <c r="JAX45" s="1"/>
      <c r="JAY45" s="1"/>
      <c r="JAZ45" s="1"/>
      <c r="JBA45" s="1"/>
      <c r="JBB45" s="1"/>
      <c r="JBC45" s="1"/>
      <c r="JBD45" s="1"/>
      <c r="JBE45" s="1"/>
      <c r="JBF45" s="1"/>
      <c r="JBG45" s="1"/>
      <c r="JBH45" s="1"/>
      <c r="JBI45" s="1"/>
      <c r="JBJ45" s="1"/>
      <c r="JBK45" s="1"/>
      <c r="JBL45" s="1"/>
      <c r="JBM45" s="1"/>
      <c r="JBN45" s="1"/>
      <c r="JBO45" s="1"/>
      <c r="JBP45" s="1"/>
      <c r="JBQ45" s="1"/>
      <c r="JBR45" s="1"/>
      <c r="JBS45" s="1"/>
      <c r="JBT45" s="1"/>
      <c r="JBU45" s="1"/>
      <c r="JBV45" s="1"/>
      <c r="JBW45" s="1"/>
      <c r="JBX45" s="1"/>
      <c r="JBY45" s="1"/>
      <c r="JBZ45" s="1"/>
      <c r="JCA45" s="1"/>
      <c r="JCB45" s="1"/>
      <c r="JCC45" s="1"/>
      <c r="JCD45" s="1"/>
      <c r="JCE45" s="1"/>
      <c r="JCF45" s="1"/>
      <c r="JCG45" s="1"/>
      <c r="JCH45" s="1"/>
      <c r="JCI45" s="1"/>
      <c r="JCJ45" s="1"/>
      <c r="JCK45" s="1"/>
      <c r="JCL45" s="1"/>
      <c r="JCM45" s="1"/>
      <c r="JCN45" s="1"/>
      <c r="JCO45" s="1"/>
      <c r="JCP45" s="1"/>
      <c r="JCQ45" s="1"/>
      <c r="JCR45" s="1"/>
      <c r="JCS45" s="1"/>
      <c r="JCT45" s="1"/>
      <c r="JCU45" s="1"/>
      <c r="JCV45" s="1"/>
      <c r="JCW45" s="1"/>
      <c r="JCX45" s="1"/>
      <c r="JCY45" s="1"/>
      <c r="JCZ45" s="1"/>
      <c r="JDA45" s="1"/>
      <c r="JDB45" s="1"/>
      <c r="JDC45" s="1"/>
      <c r="JDD45" s="1"/>
      <c r="JDE45" s="1"/>
      <c r="JDF45" s="1"/>
      <c r="JDG45" s="1"/>
      <c r="JDH45" s="1"/>
      <c r="JDI45" s="1"/>
      <c r="JDJ45" s="1"/>
      <c r="JDK45" s="1"/>
      <c r="JDL45" s="1"/>
      <c r="JDM45" s="1"/>
      <c r="JDN45" s="1"/>
      <c r="JDO45" s="1"/>
      <c r="JDP45" s="1"/>
      <c r="JDQ45" s="1"/>
      <c r="JDR45" s="1"/>
      <c r="JDS45" s="1"/>
      <c r="JDT45" s="1"/>
      <c r="JDU45" s="1"/>
      <c r="JDV45" s="1"/>
      <c r="JDW45" s="1"/>
      <c r="JDX45" s="1"/>
      <c r="JDY45" s="1"/>
      <c r="JDZ45" s="1"/>
      <c r="JEA45" s="1"/>
      <c r="JEB45" s="1"/>
      <c r="JEC45" s="1"/>
      <c r="JED45" s="1"/>
      <c r="JEE45" s="1"/>
      <c r="JEF45" s="1"/>
      <c r="JEG45" s="1"/>
      <c r="JEH45" s="1"/>
      <c r="JEI45" s="1"/>
      <c r="JEJ45" s="1"/>
      <c r="JEK45" s="1"/>
      <c r="JEL45" s="1"/>
      <c r="JEM45" s="1"/>
      <c r="JEN45" s="1"/>
      <c r="JEO45" s="1"/>
      <c r="JEP45" s="1"/>
      <c r="JEQ45" s="1"/>
      <c r="JER45" s="1"/>
      <c r="JES45" s="1"/>
      <c r="JET45" s="1"/>
      <c r="JEU45" s="1"/>
      <c r="JEV45" s="1"/>
      <c r="JEW45" s="1"/>
      <c r="JEX45" s="1"/>
      <c r="JEY45" s="1"/>
      <c r="JEZ45" s="1"/>
      <c r="JFA45" s="1"/>
      <c r="JFB45" s="1"/>
      <c r="JFC45" s="1"/>
      <c r="JFD45" s="1"/>
      <c r="JFE45" s="1"/>
      <c r="JFF45" s="1"/>
      <c r="JFG45" s="1"/>
      <c r="JFH45" s="1"/>
      <c r="JFI45" s="1"/>
      <c r="JFJ45" s="1"/>
      <c r="JFK45" s="1"/>
      <c r="JFL45" s="1"/>
      <c r="JFM45" s="1"/>
      <c r="JFN45" s="1"/>
      <c r="JFO45" s="1"/>
      <c r="JFP45" s="1"/>
      <c r="JFQ45" s="1"/>
      <c r="JFR45" s="1"/>
      <c r="JFS45" s="1"/>
      <c r="JFT45" s="1"/>
      <c r="JFU45" s="1"/>
      <c r="JFV45" s="1"/>
      <c r="JFW45" s="1"/>
      <c r="JFX45" s="1"/>
      <c r="JFY45" s="1"/>
      <c r="JFZ45" s="1"/>
      <c r="JGA45" s="1"/>
      <c r="JGB45" s="1"/>
      <c r="JGC45" s="1"/>
      <c r="JGD45" s="1"/>
      <c r="JGE45" s="1"/>
      <c r="JGF45" s="1"/>
      <c r="JGG45" s="1"/>
      <c r="JGH45" s="1"/>
      <c r="JGI45" s="1"/>
      <c r="JGJ45" s="1"/>
      <c r="JGK45" s="1"/>
      <c r="JGL45" s="1"/>
      <c r="JGM45" s="1"/>
      <c r="JGN45" s="1"/>
      <c r="JGO45" s="1"/>
      <c r="JGP45" s="1"/>
      <c r="JGQ45" s="1"/>
      <c r="JGR45" s="1"/>
      <c r="JGS45" s="1"/>
      <c r="JGT45" s="1"/>
      <c r="JGU45" s="1"/>
      <c r="JGV45" s="1"/>
      <c r="JGW45" s="1"/>
      <c r="JGX45" s="1"/>
      <c r="JGY45" s="1"/>
      <c r="JGZ45" s="1"/>
      <c r="JHA45" s="1"/>
      <c r="JHB45" s="1"/>
      <c r="JHC45" s="1"/>
      <c r="JHD45" s="1"/>
      <c r="JHE45" s="1"/>
      <c r="JHF45" s="1"/>
      <c r="JHG45" s="1"/>
      <c r="JHH45" s="1"/>
      <c r="JHI45" s="1"/>
      <c r="JHJ45" s="1"/>
      <c r="JHK45" s="1"/>
      <c r="JHL45" s="1"/>
      <c r="JHM45" s="1"/>
      <c r="JHN45" s="1"/>
      <c r="JHO45" s="1"/>
      <c r="JHP45" s="1"/>
      <c r="JHQ45" s="1"/>
      <c r="JHR45" s="1"/>
      <c r="JHS45" s="1"/>
      <c r="JHT45" s="1"/>
      <c r="JHU45" s="1"/>
      <c r="JHV45" s="1"/>
      <c r="JHW45" s="1"/>
      <c r="JHX45" s="1"/>
      <c r="JHY45" s="1"/>
      <c r="JHZ45" s="1"/>
      <c r="JIA45" s="1"/>
      <c r="JIB45" s="1"/>
      <c r="JIC45" s="1"/>
      <c r="JID45" s="1"/>
      <c r="JIE45" s="1"/>
      <c r="JIF45" s="1"/>
      <c r="JIG45" s="1"/>
      <c r="JIH45" s="1"/>
      <c r="JII45" s="1"/>
      <c r="JIJ45" s="1"/>
      <c r="JIK45" s="1"/>
      <c r="JIL45" s="1"/>
      <c r="JIM45" s="1"/>
      <c r="JIN45" s="1"/>
      <c r="JIO45" s="1"/>
      <c r="JIP45" s="1"/>
      <c r="JIQ45" s="1"/>
      <c r="JIR45" s="1"/>
      <c r="JIS45" s="1"/>
      <c r="JIT45" s="1"/>
      <c r="JIU45" s="1"/>
      <c r="JIV45" s="1"/>
      <c r="JIW45" s="1"/>
      <c r="JIX45" s="1"/>
      <c r="JIY45" s="1"/>
      <c r="JIZ45" s="1"/>
      <c r="JJA45" s="1"/>
      <c r="JJB45" s="1"/>
      <c r="JJC45" s="1"/>
      <c r="JJD45" s="1"/>
      <c r="JJE45" s="1"/>
      <c r="JJF45" s="1"/>
      <c r="JJG45" s="1"/>
      <c r="JJH45" s="1"/>
      <c r="JJI45" s="1"/>
      <c r="JJJ45" s="1"/>
      <c r="JJK45" s="1"/>
      <c r="JJL45" s="1"/>
      <c r="JJM45" s="1"/>
      <c r="JJN45" s="1"/>
      <c r="JJO45" s="1"/>
      <c r="JJP45" s="1"/>
      <c r="JJQ45" s="1"/>
      <c r="JJR45" s="1"/>
      <c r="JJS45" s="1"/>
      <c r="JJT45" s="1"/>
      <c r="JJU45" s="1"/>
      <c r="JJV45" s="1"/>
      <c r="JJW45" s="1"/>
      <c r="JJX45" s="1"/>
      <c r="JJY45" s="1"/>
      <c r="JJZ45" s="1"/>
      <c r="JKA45" s="1"/>
      <c r="JKB45" s="1"/>
      <c r="JKC45" s="1"/>
      <c r="JKD45" s="1"/>
      <c r="JKE45" s="1"/>
      <c r="JKF45" s="1"/>
      <c r="JKG45" s="1"/>
      <c r="JKH45" s="1"/>
      <c r="JKI45" s="1"/>
      <c r="JKJ45" s="1"/>
      <c r="JKK45" s="1"/>
      <c r="JKL45" s="1"/>
      <c r="JKM45" s="1"/>
      <c r="JKN45" s="1"/>
      <c r="JKO45" s="1"/>
      <c r="JKP45" s="1"/>
      <c r="JKQ45" s="1"/>
      <c r="JKR45" s="1"/>
      <c r="JKS45" s="1"/>
      <c r="JKT45" s="1"/>
      <c r="JKU45" s="1"/>
      <c r="JKV45" s="1"/>
      <c r="JKW45" s="1"/>
      <c r="JKX45" s="1"/>
      <c r="JKY45" s="1"/>
      <c r="JKZ45" s="1"/>
      <c r="JLA45" s="1"/>
      <c r="JLB45" s="1"/>
      <c r="JLC45" s="1"/>
      <c r="JLD45" s="1"/>
      <c r="JLE45" s="1"/>
      <c r="JLF45" s="1"/>
      <c r="JLG45" s="1"/>
      <c r="JLH45" s="1"/>
      <c r="JLI45" s="1"/>
      <c r="JLJ45" s="1"/>
      <c r="JLK45" s="1"/>
      <c r="JLL45" s="1"/>
      <c r="JLM45" s="1"/>
      <c r="JLN45" s="1"/>
      <c r="JLO45" s="1"/>
      <c r="JLP45" s="1"/>
      <c r="JLQ45" s="1"/>
      <c r="JLR45" s="1"/>
      <c r="JLS45" s="1"/>
      <c r="JLT45" s="1"/>
      <c r="JLU45" s="1"/>
      <c r="JLV45" s="1"/>
      <c r="JLW45" s="1"/>
      <c r="JLX45" s="1"/>
      <c r="JLY45" s="1"/>
      <c r="JLZ45" s="1"/>
      <c r="JMA45" s="1"/>
      <c r="JMB45" s="1"/>
      <c r="JMC45" s="1"/>
      <c r="JMD45" s="1"/>
      <c r="JME45" s="1"/>
      <c r="JMF45" s="1"/>
      <c r="JMG45" s="1"/>
      <c r="JMH45" s="1"/>
      <c r="JMI45" s="1"/>
      <c r="JMJ45" s="1"/>
      <c r="JMK45" s="1"/>
      <c r="JML45" s="1"/>
      <c r="JMM45" s="1"/>
      <c r="JMN45" s="1"/>
      <c r="JMO45" s="1"/>
      <c r="JMP45" s="1"/>
      <c r="JMQ45" s="1"/>
      <c r="JMR45" s="1"/>
      <c r="JMS45" s="1"/>
      <c r="JMT45" s="1"/>
      <c r="JMU45" s="1"/>
      <c r="JMV45" s="1"/>
      <c r="JMW45" s="1"/>
      <c r="JMX45" s="1"/>
      <c r="JMY45" s="1"/>
      <c r="JMZ45" s="1"/>
      <c r="JNA45" s="1"/>
      <c r="JNB45" s="1"/>
      <c r="JNC45" s="1"/>
      <c r="JND45" s="1"/>
      <c r="JNE45" s="1"/>
      <c r="JNF45" s="1"/>
      <c r="JNG45" s="1"/>
      <c r="JNH45" s="1"/>
      <c r="JNI45" s="1"/>
      <c r="JNJ45" s="1"/>
      <c r="JNK45" s="1"/>
      <c r="JNL45" s="1"/>
      <c r="JNM45" s="1"/>
      <c r="JNN45" s="1"/>
      <c r="JNO45" s="1"/>
      <c r="JNP45" s="1"/>
      <c r="JNQ45" s="1"/>
      <c r="JNR45" s="1"/>
      <c r="JNS45" s="1"/>
      <c r="JNT45" s="1"/>
      <c r="JNU45" s="1"/>
      <c r="JNV45" s="1"/>
      <c r="JNW45" s="1"/>
      <c r="JNX45" s="1"/>
      <c r="JNY45" s="1"/>
      <c r="JNZ45" s="1"/>
      <c r="JOA45" s="1"/>
      <c r="JOB45" s="1"/>
      <c r="JOC45" s="1"/>
      <c r="JOD45" s="1"/>
      <c r="JOE45" s="1"/>
      <c r="JOF45" s="1"/>
      <c r="JOG45" s="1"/>
      <c r="JOH45" s="1"/>
      <c r="JOI45" s="1"/>
      <c r="JOJ45" s="1"/>
      <c r="JOK45" s="1"/>
      <c r="JOL45" s="1"/>
      <c r="JOM45" s="1"/>
      <c r="JON45" s="1"/>
      <c r="JOO45" s="1"/>
      <c r="JOP45" s="1"/>
      <c r="JOQ45" s="1"/>
      <c r="JOR45" s="1"/>
      <c r="JOS45" s="1"/>
      <c r="JOT45" s="1"/>
      <c r="JOU45" s="1"/>
      <c r="JOV45" s="1"/>
      <c r="JOW45" s="1"/>
      <c r="JOX45" s="1"/>
      <c r="JOY45" s="1"/>
      <c r="JOZ45" s="1"/>
      <c r="JPA45" s="1"/>
      <c r="JPB45" s="1"/>
      <c r="JPC45" s="1"/>
      <c r="JPD45" s="1"/>
      <c r="JPE45" s="1"/>
      <c r="JPF45" s="1"/>
      <c r="JPG45" s="1"/>
      <c r="JPH45" s="1"/>
      <c r="JPI45" s="1"/>
      <c r="JPJ45" s="1"/>
      <c r="JPK45" s="1"/>
      <c r="JPL45" s="1"/>
      <c r="JPM45" s="1"/>
      <c r="JPN45" s="1"/>
      <c r="JPO45" s="1"/>
      <c r="JPP45" s="1"/>
      <c r="JPQ45" s="1"/>
      <c r="JPR45" s="1"/>
      <c r="JPS45" s="1"/>
      <c r="JPT45" s="1"/>
      <c r="JPU45" s="1"/>
      <c r="JPV45" s="1"/>
      <c r="JPW45" s="1"/>
      <c r="JPX45" s="1"/>
      <c r="JPY45" s="1"/>
      <c r="JPZ45" s="1"/>
      <c r="JQA45" s="1"/>
      <c r="JQB45" s="1"/>
      <c r="JQC45" s="1"/>
      <c r="JQD45" s="1"/>
      <c r="JQE45" s="1"/>
      <c r="JQF45" s="1"/>
      <c r="JQG45" s="1"/>
      <c r="JQH45" s="1"/>
      <c r="JQI45" s="1"/>
      <c r="JQJ45" s="1"/>
      <c r="JQK45" s="1"/>
      <c r="JQL45" s="1"/>
      <c r="JQM45" s="1"/>
      <c r="JQN45" s="1"/>
      <c r="JQO45" s="1"/>
      <c r="JQP45" s="1"/>
      <c r="JQQ45" s="1"/>
      <c r="JQR45" s="1"/>
      <c r="JQS45" s="1"/>
      <c r="JQT45" s="1"/>
      <c r="JQU45" s="1"/>
      <c r="JQV45" s="1"/>
      <c r="JQW45" s="1"/>
      <c r="JQX45" s="1"/>
      <c r="JQY45" s="1"/>
      <c r="JQZ45" s="1"/>
      <c r="JRA45" s="1"/>
      <c r="JRB45" s="1"/>
      <c r="JRC45" s="1"/>
      <c r="JRD45" s="1"/>
      <c r="JRE45" s="1"/>
      <c r="JRF45" s="1"/>
      <c r="JRG45" s="1"/>
      <c r="JRH45" s="1"/>
      <c r="JRI45" s="1"/>
      <c r="JRJ45" s="1"/>
      <c r="JRK45" s="1"/>
      <c r="JRL45" s="1"/>
      <c r="JRM45" s="1"/>
      <c r="JRN45" s="1"/>
      <c r="JRO45" s="1"/>
      <c r="JRP45" s="1"/>
      <c r="JRQ45" s="1"/>
      <c r="JRR45" s="1"/>
      <c r="JRS45" s="1"/>
      <c r="JRT45" s="1"/>
      <c r="JRU45" s="1"/>
      <c r="JRV45" s="1"/>
      <c r="JRW45" s="1"/>
      <c r="JRX45" s="1"/>
      <c r="JRY45" s="1"/>
      <c r="JRZ45" s="1"/>
      <c r="JSA45" s="1"/>
      <c r="JSB45" s="1"/>
      <c r="JSC45" s="1"/>
      <c r="JSD45" s="1"/>
      <c r="JSE45" s="1"/>
      <c r="JSF45" s="1"/>
      <c r="JSG45" s="1"/>
      <c r="JSH45" s="1"/>
      <c r="JSI45" s="1"/>
      <c r="JSJ45" s="1"/>
      <c r="JSK45" s="1"/>
      <c r="JSL45" s="1"/>
      <c r="JSM45" s="1"/>
      <c r="JSN45" s="1"/>
      <c r="JSO45" s="1"/>
      <c r="JSP45" s="1"/>
      <c r="JSQ45" s="1"/>
      <c r="JSR45" s="1"/>
      <c r="JSS45" s="1"/>
      <c r="JST45" s="1"/>
      <c r="JSU45" s="1"/>
      <c r="JSV45" s="1"/>
      <c r="JSW45" s="1"/>
      <c r="JSX45" s="1"/>
      <c r="JSY45" s="1"/>
      <c r="JSZ45" s="1"/>
      <c r="JTA45" s="1"/>
      <c r="JTB45" s="1"/>
      <c r="JTC45" s="1"/>
      <c r="JTD45" s="1"/>
      <c r="JTE45" s="1"/>
      <c r="JTF45" s="1"/>
      <c r="JTG45" s="1"/>
      <c r="JTH45" s="1"/>
      <c r="JTI45" s="1"/>
      <c r="JTJ45" s="1"/>
      <c r="JTK45" s="1"/>
      <c r="JTL45" s="1"/>
      <c r="JTM45" s="1"/>
      <c r="JTN45" s="1"/>
      <c r="JTO45" s="1"/>
      <c r="JTP45" s="1"/>
      <c r="JTQ45" s="1"/>
      <c r="JTR45" s="1"/>
      <c r="JTS45" s="1"/>
      <c r="JTT45" s="1"/>
      <c r="JTU45" s="1"/>
      <c r="JTV45" s="1"/>
      <c r="JTW45" s="1"/>
      <c r="JTX45" s="1"/>
      <c r="JTY45" s="1"/>
      <c r="JTZ45" s="1"/>
      <c r="JUA45" s="1"/>
      <c r="JUB45" s="1"/>
      <c r="JUC45" s="1"/>
      <c r="JUD45" s="1"/>
      <c r="JUE45" s="1"/>
      <c r="JUF45" s="1"/>
      <c r="JUG45" s="1"/>
      <c r="JUH45" s="1"/>
      <c r="JUI45" s="1"/>
      <c r="JUJ45" s="1"/>
      <c r="JUK45" s="1"/>
      <c r="JUL45" s="1"/>
      <c r="JUM45" s="1"/>
      <c r="JUN45" s="1"/>
      <c r="JUO45" s="1"/>
      <c r="JUP45" s="1"/>
      <c r="JUQ45" s="1"/>
      <c r="JUR45" s="1"/>
      <c r="JUS45" s="1"/>
      <c r="JUT45" s="1"/>
      <c r="JUU45" s="1"/>
      <c r="JUV45" s="1"/>
      <c r="JUW45" s="1"/>
      <c r="JUX45" s="1"/>
      <c r="JUY45" s="1"/>
      <c r="JUZ45" s="1"/>
      <c r="JVA45" s="1"/>
      <c r="JVB45" s="1"/>
      <c r="JVC45" s="1"/>
      <c r="JVD45" s="1"/>
      <c r="JVE45" s="1"/>
      <c r="JVF45" s="1"/>
      <c r="JVG45" s="1"/>
      <c r="JVH45" s="1"/>
      <c r="JVI45" s="1"/>
      <c r="JVJ45" s="1"/>
      <c r="JVK45" s="1"/>
      <c r="JVL45" s="1"/>
      <c r="JVM45" s="1"/>
      <c r="JVN45" s="1"/>
      <c r="JVO45" s="1"/>
      <c r="JVP45" s="1"/>
      <c r="JVQ45" s="1"/>
      <c r="JVR45" s="1"/>
      <c r="JVS45" s="1"/>
      <c r="JVT45" s="1"/>
      <c r="JVU45" s="1"/>
      <c r="JVV45" s="1"/>
      <c r="JVW45" s="1"/>
      <c r="JVX45" s="1"/>
      <c r="JVY45" s="1"/>
      <c r="JVZ45" s="1"/>
      <c r="JWA45" s="1"/>
      <c r="JWB45" s="1"/>
      <c r="JWC45" s="1"/>
      <c r="JWD45" s="1"/>
      <c r="JWE45" s="1"/>
      <c r="JWF45" s="1"/>
      <c r="JWG45" s="1"/>
      <c r="JWH45" s="1"/>
      <c r="JWI45" s="1"/>
      <c r="JWJ45" s="1"/>
      <c r="JWK45" s="1"/>
      <c r="JWL45" s="1"/>
      <c r="JWM45" s="1"/>
      <c r="JWN45" s="1"/>
      <c r="JWO45" s="1"/>
      <c r="JWP45" s="1"/>
      <c r="JWQ45" s="1"/>
      <c r="JWR45" s="1"/>
      <c r="JWS45" s="1"/>
      <c r="JWT45" s="1"/>
      <c r="JWU45" s="1"/>
      <c r="JWV45" s="1"/>
      <c r="JWW45" s="1"/>
      <c r="JWX45" s="1"/>
      <c r="JWY45" s="1"/>
      <c r="JWZ45" s="1"/>
      <c r="JXA45" s="1"/>
      <c r="JXB45" s="1"/>
      <c r="JXC45" s="1"/>
      <c r="JXD45" s="1"/>
      <c r="JXE45" s="1"/>
      <c r="JXF45" s="1"/>
      <c r="JXG45" s="1"/>
      <c r="JXH45" s="1"/>
      <c r="JXI45" s="1"/>
      <c r="JXJ45" s="1"/>
      <c r="JXK45" s="1"/>
      <c r="JXL45" s="1"/>
      <c r="JXM45" s="1"/>
      <c r="JXN45" s="1"/>
      <c r="JXO45" s="1"/>
      <c r="JXP45" s="1"/>
      <c r="JXQ45" s="1"/>
      <c r="JXR45" s="1"/>
      <c r="JXS45" s="1"/>
      <c r="JXT45" s="1"/>
      <c r="JXU45" s="1"/>
      <c r="JXV45" s="1"/>
      <c r="JXW45" s="1"/>
      <c r="JXX45" s="1"/>
      <c r="JXY45" s="1"/>
      <c r="JXZ45" s="1"/>
      <c r="JYA45" s="1"/>
      <c r="JYB45" s="1"/>
      <c r="JYC45" s="1"/>
      <c r="JYD45" s="1"/>
      <c r="JYE45" s="1"/>
      <c r="JYF45" s="1"/>
      <c r="JYG45" s="1"/>
      <c r="JYH45" s="1"/>
      <c r="JYI45" s="1"/>
      <c r="JYJ45" s="1"/>
      <c r="JYK45" s="1"/>
      <c r="JYL45" s="1"/>
      <c r="JYM45" s="1"/>
      <c r="JYN45" s="1"/>
      <c r="JYO45" s="1"/>
      <c r="JYP45" s="1"/>
      <c r="JYQ45" s="1"/>
      <c r="JYR45" s="1"/>
      <c r="JYS45" s="1"/>
      <c r="JYT45" s="1"/>
      <c r="JYU45" s="1"/>
      <c r="JYV45" s="1"/>
      <c r="JYW45" s="1"/>
      <c r="JYX45" s="1"/>
      <c r="JYY45" s="1"/>
      <c r="JYZ45" s="1"/>
      <c r="JZA45" s="1"/>
      <c r="JZB45" s="1"/>
      <c r="JZC45" s="1"/>
      <c r="JZD45" s="1"/>
      <c r="JZE45" s="1"/>
      <c r="JZF45" s="1"/>
      <c r="JZG45" s="1"/>
      <c r="JZH45" s="1"/>
      <c r="JZI45" s="1"/>
      <c r="JZJ45" s="1"/>
      <c r="JZK45" s="1"/>
      <c r="JZL45" s="1"/>
      <c r="JZM45" s="1"/>
      <c r="JZN45" s="1"/>
      <c r="JZO45" s="1"/>
      <c r="JZP45" s="1"/>
      <c r="JZQ45" s="1"/>
      <c r="JZR45" s="1"/>
      <c r="JZS45" s="1"/>
      <c r="JZT45" s="1"/>
      <c r="JZU45" s="1"/>
      <c r="JZV45" s="1"/>
      <c r="JZW45" s="1"/>
      <c r="JZX45" s="1"/>
      <c r="JZY45" s="1"/>
      <c r="JZZ45" s="1"/>
      <c r="KAA45" s="1"/>
      <c r="KAB45" s="1"/>
      <c r="KAC45" s="1"/>
      <c r="KAD45" s="1"/>
      <c r="KAE45" s="1"/>
      <c r="KAF45" s="1"/>
      <c r="KAG45" s="1"/>
      <c r="KAH45" s="1"/>
      <c r="KAI45" s="1"/>
      <c r="KAJ45" s="1"/>
      <c r="KAK45" s="1"/>
      <c r="KAL45" s="1"/>
      <c r="KAM45" s="1"/>
      <c r="KAN45" s="1"/>
      <c r="KAO45" s="1"/>
      <c r="KAP45" s="1"/>
      <c r="KAQ45" s="1"/>
      <c r="KAR45" s="1"/>
      <c r="KAS45" s="1"/>
      <c r="KAT45" s="1"/>
      <c r="KAU45" s="1"/>
      <c r="KAV45" s="1"/>
      <c r="KAW45" s="1"/>
      <c r="KAX45" s="1"/>
      <c r="KAY45" s="1"/>
      <c r="KAZ45" s="1"/>
      <c r="KBA45" s="1"/>
      <c r="KBB45" s="1"/>
      <c r="KBC45" s="1"/>
      <c r="KBD45" s="1"/>
      <c r="KBE45" s="1"/>
      <c r="KBF45" s="1"/>
      <c r="KBG45" s="1"/>
      <c r="KBH45" s="1"/>
      <c r="KBI45" s="1"/>
      <c r="KBJ45" s="1"/>
      <c r="KBK45" s="1"/>
      <c r="KBL45" s="1"/>
      <c r="KBM45" s="1"/>
      <c r="KBN45" s="1"/>
      <c r="KBO45" s="1"/>
      <c r="KBP45" s="1"/>
      <c r="KBQ45" s="1"/>
      <c r="KBR45" s="1"/>
      <c r="KBS45" s="1"/>
      <c r="KBT45" s="1"/>
      <c r="KBU45" s="1"/>
      <c r="KBV45" s="1"/>
      <c r="KBW45" s="1"/>
      <c r="KBX45" s="1"/>
      <c r="KBY45" s="1"/>
      <c r="KBZ45" s="1"/>
      <c r="KCA45" s="1"/>
      <c r="KCB45" s="1"/>
      <c r="KCC45" s="1"/>
      <c r="KCD45" s="1"/>
      <c r="KCE45" s="1"/>
      <c r="KCF45" s="1"/>
      <c r="KCG45" s="1"/>
      <c r="KCH45" s="1"/>
      <c r="KCI45" s="1"/>
      <c r="KCJ45" s="1"/>
      <c r="KCK45" s="1"/>
      <c r="KCL45" s="1"/>
      <c r="KCM45" s="1"/>
      <c r="KCN45" s="1"/>
      <c r="KCO45" s="1"/>
      <c r="KCP45" s="1"/>
      <c r="KCQ45" s="1"/>
      <c r="KCR45" s="1"/>
      <c r="KCS45" s="1"/>
      <c r="KCT45" s="1"/>
      <c r="KCU45" s="1"/>
      <c r="KCV45" s="1"/>
      <c r="KCW45" s="1"/>
      <c r="KCX45" s="1"/>
      <c r="KCY45" s="1"/>
      <c r="KCZ45" s="1"/>
      <c r="KDA45" s="1"/>
      <c r="KDB45" s="1"/>
      <c r="KDC45" s="1"/>
      <c r="KDD45" s="1"/>
      <c r="KDE45" s="1"/>
      <c r="KDF45" s="1"/>
      <c r="KDG45" s="1"/>
      <c r="KDH45" s="1"/>
      <c r="KDI45" s="1"/>
      <c r="KDJ45" s="1"/>
      <c r="KDK45" s="1"/>
      <c r="KDL45" s="1"/>
      <c r="KDM45" s="1"/>
      <c r="KDN45" s="1"/>
      <c r="KDO45" s="1"/>
      <c r="KDP45" s="1"/>
      <c r="KDQ45" s="1"/>
      <c r="KDR45" s="1"/>
      <c r="KDS45" s="1"/>
      <c r="KDT45" s="1"/>
      <c r="KDU45" s="1"/>
      <c r="KDV45" s="1"/>
      <c r="KDW45" s="1"/>
      <c r="KDX45" s="1"/>
      <c r="KDY45" s="1"/>
      <c r="KDZ45" s="1"/>
      <c r="KEA45" s="1"/>
      <c r="KEB45" s="1"/>
      <c r="KEC45" s="1"/>
      <c r="KED45" s="1"/>
      <c r="KEE45" s="1"/>
      <c r="KEF45" s="1"/>
      <c r="KEG45" s="1"/>
      <c r="KEH45" s="1"/>
      <c r="KEI45" s="1"/>
      <c r="KEJ45" s="1"/>
      <c r="KEK45" s="1"/>
      <c r="KEL45" s="1"/>
      <c r="KEM45" s="1"/>
      <c r="KEN45" s="1"/>
      <c r="KEO45" s="1"/>
      <c r="KEP45" s="1"/>
      <c r="KEQ45" s="1"/>
      <c r="KER45" s="1"/>
      <c r="KES45" s="1"/>
      <c r="KET45" s="1"/>
      <c r="KEU45" s="1"/>
      <c r="KEV45" s="1"/>
      <c r="KEW45" s="1"/>
      <c r="KEX45" s="1"/>
      <c r="KEY45" s="1"/>
      <c r="KEZ45" s="1"/>
      <c r="KFA45" s="1"/>
      <c r="KFB45" s="1"/>
      <c r="KFC45" s="1"/>
      <c r="KFD45" s="1"/>
      <c r="KFE45" s="1"/>
      <c r="KFF45" s="1"/>
      <c r="KFG45" s="1"/>
      <c r="KFH45" s="1"/>
      <c r="KFI45" s="1"/>
      <c r="KFJ45" s="1"/>
      <c r="KFK45" s="1"/>
      <c r="KFL45" s="1"/>
      <c r="KFM45" s="1"/>
      <c r="KFN45" s="1"/>
      <c r="KFO45" s="1"/>
      <c r="KFP45" s="1"/>
      <c r="KFQ45" s="1"/>
      <c r="KFR45" s="1"/>
      <c r="KFS45" s="1"/>
      <c r="KFT45" s="1"/>
      <c r="KFU45" s="1"/>
      <c r="KFV45" s="1"/>
      <c r="KFW45" s="1"/>
      <c r="KFX45" s="1"/>
      <c r="KFY45" s="1"/>
      <c r="KFZ45" s="1"/>
      <c r="KGA45" s="1"/>
      <c r="KGB45" s="1"/>
      <c r="KGC45" s="1"/>
      <c r="KGD45" s="1"/>
      <c r="KGE45" s="1"/>
      <c r="KGF45" s="1"/>
      <c r="KGG45" s="1"/>
      <c r="KGH45" s="1"/>
      <c r="KGI45" s="1"/>
      <c r="KGJ45" s="1"/>
      <c r="KGK45" s="1"/>
      <c r="KGL45" s="1"/>
      <c r="KGM45" s="1"/>
      <c r="KGN45" s="1"/>
      <c r="KGO45" s="1"/>
      <c r="KGP45" s="1"/>
      <c r="KGQ45" s="1"/>
      <c r="KGR45" s="1"/>
      <c r="KGS45" s="1"/>
      <c r="KGT45" s="1"/>
      <c r="KGU45" s="1"/>
      <c r="KGV45" s="1"/>
      <c r="KGW45" s="1"/>
      <c r="KGX45" s="1"/>
      <c r="KGY45" s="1"/>
      <c r="KGZ45" s="1"/>
      <c r="KHA45" s="1"/>
      <c r="KHB45" s="1"/>
      <c r="KHC45" s="1"/>
      <c r="KHD45" s="1"/>
      <c r="KHE45" s="1"/>
      <c r="KHF45" s="1"/>
      <c r="KHG45" s="1"/>
      <c r="KHH45" s="1"/>
      <c r="KHI45" s="1"/>
      <c r="KHJ45" s="1"/>
      <c r="KHK45" s="1"/>
      <c r="KHL45" s="1"/>
      <c r="KHM45" s="1"/>
      <c r="KHN45" s="1"/>
      <c r="KHO45" s="1"/>
      <c r="KHP45" s="1"/>
      <c r="KHQ45" s="1"/>
      <c r="KHR45" s="1"/>
      <c r="KHS45" s="1"/>
      <c r="KHT45" s="1"/>
      <c r="KHU45" s="1"/>
      <c r="KHV45" s="1"/>
      <c r="KHW45" s="1"/>
      <c r="KHX45" s="1"/>
      <c r="KHY45" s="1"/>
      <c r="KHZ45" s="1"/>
      <c r="KIA45" s="1"/>
      <c r="KIB45" s="1"/>
      <c r="KIC45" s="1"/>
      <c r="KID45" s="1"/>
      <c r="KIE45" s="1"/>
      <c r="KIF45" s="1"/>
      <c r="KIG45" s="1"/>
      <c r="KIH45" s="1"/>
      <c r="KII45" s="1"/>
      <c r="KIJ45" s="1"/>
      <c r="KIK45" s="1"/>
      <c r="KIL45" s="1"/>
      <c r="KIM45" s="1"/>
      <c r="KIN45" s="1"/>
      <c r="KIO45" s="1"/>
      <c r="KIP45" s="1"/>
      <c r="KIQ45" s="1"/>
      <c r="KIR45" s="1"/>
      <c r="KIS45" s="1"/>
      <c r="KIT45" s="1"/>
      <c r="KIU45" s="1"/>
      <c r="KIV45" s="1"/>
      <c r="KIW45" s="1"/>
      <c r="KIX45" s="1"/>
      <c r="KIY45" s="1"/>
      <c r="KIZ45" s="1"/>
      <c r="KJA45" s="1"/>
      <c r="KJB45" s="1"/>
      <c r="KJC45" s="1"/>
      <c r="KJD45" s="1"/>
      <c r="KJE45" s="1"/>
      <c r="KJF45" s="1"/>
      <c r="KJG45" s="1"/>
      <c r="KJH45" s="1"/>
      <c r="KJI45" s="1"/>
      <c r="KJJ45" s="1"/>
      <c r="KJK45" s="1"/>
      <c r="KJL45" s="1"/>
      <c r="KJM45" s="1"/>
      <c r="KJN45" s="1"/>
      <c r="KJO45" s="1"/>
      <c r="KJP45" s="1"/>
      <c r="KJQ45" s="1"/>
      <c r="KJR45" s="1"/>
      <c r="KJS45" s="1"/>
      <c r="KJT45" s="1"/>
      <c r="KJU45" s="1"/>
      <c r="KJV45" s="1"/>
      <c r="KJW45" s="1"/>
      <c r="KJX45" s="1"/>
      <c r="KJY45" s="1"/>
      <c r="KJZ45" s="1"/>
      <c r="KKA45" s="1"/>
      <c r="KKB45" s="1"/>
      <c r="KKC45" s="1"/>
      <c r="KKD45" s="1"/>
      <c r="KKE45" s="1"/>
      <c r="KKF45" s="1"/>
      <c r="KKG45" s="1"/>
      <c r="KKH45" s="1"/>
      <c r="KKI45" s="1"/>
      <c r="KKJ45" s="1"/>
      <c r="KKK45" s="1"/>
      <c r="KKL45" s="1"/>
      <c r="KKM45" s="1"/>
      <c r="KKN45" s="1"/>
      <c r="KKO45" s="1"/>
      <c r="KKP45" s="1"/>
      <c r="KKQ45" s="1"/>
      <c r="KKR45" s="1"/>
      <c r="KKS45" s="1"/>
      <c r="KKT45" s="1"/>
      <c r="KKU45" s="1"/>
      <c r="KKV45" s="1"/>
      <c r="KKW45" s="1"/>
      <c r="KKX45" s="1"/>
      <c r="KKY45" s="1"/>
      <c r="KKZ45" s="1"/>
      <c r="KLA45" s="1"/>
      <c r="KLB45" s="1"/>
      <c r="KLC45" s="1"/>
      <c r="KLD45" s="1"/>
      <c r="KLE45" s="1"/>
      <c r="KLF45" s="1"/>
      <c r="KLG45" s="1"/>
      <c r="KLH45" s="1"/>
      <c r="KLI45" s="1"/>
      <c r="KLJ45" s="1"/>
      <c r="KLK45" s="1"/>
      <c r="KLL45" s="1"/>
      <c r="KLM45" s="1"/>
      <c r="KLN45" s="1"/>
      <c r="KLO45" s="1"/>
      <c r="KLP45" s="1"/>
      <c r="KLQ45" s="1"/>
      <c r="KLR45" s="1"/>
      <c r="KLS45" s="1"/>
      <c r="KLT45" s="1"/>
      <c r="KLU45" s="1"/>
      <c r="KLV45" s="1"/>
      <c r="KLW45" s="1"/>
      <c r="KLX45" s="1"/>
      <c r="KLY45" s="1"/>
      <c r="KLZ45" s="1"/>
      <c r="KMA45" s="1"/>
      <c r="KMB45" s="1"/>
      <c r="KMC45" s="1"/>
      <c r="KMD45" s="1"/>
      <c r="KME45" s="1"/>
      <c r="KMF45" s="1"/>
      <c r="KMG45" s="1"/>
      <c r="KMH45" s="1"/>
      <c r="KMI45" s="1"/>
      <c r="KMJ45" s="1"/>
      <c r="KMK45" s="1"/>
      <c r="KML45" s="1"/>
      <c r="KMM45" s="1"/>
      <c r="KMN45" s="1"/>
      <c r="KMO45" s="1"/>
      <c r="KMP45" s="1"/>
      <c r="KMQ45" s="1"/>
      <c r="KMR45" s="1"/>
      <c r="KMS45" s="1"/>
      <c r="KMT45" s="1"/>
      <c r="KMU45" s="1"/>
      <c r="KMV45" s="1"/>
      <c r="KMW45" s="1"/>
      <c r="KMX45" s="1"/>
      <c r="KMY45" s="1"/>
      <c r="KMZ45" s="1"/>
      <c r="KNA45" s="1"/>
      <c r="KNB45" s="1"/>
      <c r="KNC45" s="1"/>
      <c r="KND45" s="1"/>
      <c r="KNE45" s="1"/>
      <c r="KNF45" s="1"/>
      <c r="KNG45" s="1"/>
      <c r="KNH45" s="1"/>
      <c r="KNI45" s="1"/>
      <c r="KNJ45" s="1"/>
      <c r="KNK45" s="1"/>
      <c r="KNL45" s="1"/>
      <c r="KNM45" s="1"/>
      <c r="KNN45" s="1"/>
      <c r="KNO45" s="1"/>
      <c r="KNP45" s="1"/>
      <c r="KNQ45" s="1"/>
      <c r="KNR45" s="1"/>
      <c r="KNS45" s="1"/>
      <c r="KNT45" s="1"/>
      <c r="KNU45" s="1"/>
      <c r="KNV45" s="1"/>
      <c r="KNW45" s="1"/>
      <c r="KNX45" s="1"/>
      <c r="KNY45" s="1"/>
      <c r="KNZ45" s="1"/>
      <c r="KOA45" s="1"/>
      <c r="KOB45" s="1"/>
      <c r="KOC45" s="1"/>
      <c r="KOD45" s="1"/>
      <c r="KOE45" s="1"/>
      <c r="KOF45" s="1"/>
      <c r="KOG45" s="1"/>
      <c r="KOH45" s="1"/>
      <c r="KOI45" s="1"/>
      <c r="KOJ45" s="1"/>
      <c r="KOK45" s="1"/>
      <c r="KOL45" s="1"/>
      <c r="KOM45" s="1"/>
      <c r="KON45" s="1"/>
      <c r="KOO45" s="1"/>
      <c r="KOP45" s="1"/>
      <c r="KOQ45" s="1"/>
      <c r="KOR45" s="1"/>
      <c r="KOS45" s="1"/>
      <c r="KOT45" s="1"/>
      <c r="KOU45" s="1"/>
      <c r="KOV45" s="1"/>
      <c r="KOW45" s="1"/>
      <c r="KOX45" s="1"/>
      <c r="KOY45" s="1"/>
      <c r="KOZ45" s="1"/>
      <c r="KPA45" s="1"/>
      <c r="KPB45" s="1"/>
      <c r="KPC45" s="1"/>
      <c r="KPD45" s="1"/>
      <c r="KPE45" s="1"/>
      <c r="KPF45" s="1"/>
      <c r="KPG45" s="1"/>
      <c r="KPH45" s="1"/>
      <c r="KPI45" s="1"/>
      <c r="KPJ45" s="1"/>
      <c r="KPK45" s="1"/>
      <c r="KPL45" s="1"/>
      <c r="KPM45" s="1"/>
      <c r="KPN45" s="1"/>
      <c r="KPO45" s="1"/>
      <c r="KPP45" s="1"/>
      <c r="KPQ45" s="1"/>
      <c r="KPR45" s="1"/>
      <c r="KPS45" s="1"/>
      <c r="KPT45" s="1"/>
      <c r="KPU45" s="1"/>
      <c r="KPV45" s="1"/>
      <c r="KPW45" s="1"/>
      <c r="KPX45" s="1"/>
      <c r="KPY45" s="1"/>
      <c r="KPZ45" s="1"/>
      <c r="KQA45" s="1"/>
      <c r="KQB45" s="1"/>
      <c r="KQC45" s="1"/>
      <c r="KQD45" s="1"/>
      <c r="KQE45" s="1"/>
      <c r="KQF45" s="1"/>
      <c r="KQG45" s="1"/>
      <c r="KQH45" s="1"/>
      <c r="KQI45" s="1"/>
      <c r="KQJ45" s="1"/>
      <c r="KQK45" s="1"/>
      <c r="KQL45" s="1"/>
      <c r="KQM45" s="1"/>
      <c r="KQN45" s="1"/>
      <c r="KQO45" s="1"/>
      <c r="KQP45" s="1"/>
      <c r="KQQ45" s="1"/>
      <c r="KQR45" s="1"/>
      <c r="KQS45" s="1"/>
      <c r="KQT45" s="1"/>
      <c r="KQU45" s="1"/>
      <c r="KQV45" s="1"/>
      <c r="KQW45" s="1"/>
      <c r="KQX45" s="1"/>
      <c r="KQY45" s="1"/>
      <c r="KQZ45" s="1"/>
      <c r="KRA45" s="1"/>
      <c r="KRB45" s="1"/>
      <c r="KRC45" s="1"/>
      <c r="KRD45" s="1"/>
      <c r="KRE45" s="1"/>
      <c r="KRF45" s="1"/>
      <c r="KRG45" s="1"/>
      <c r="KRH45" s="1"/>
      <c r="KRI45" s="1"/>
      <c r="KRJ45" s="1"/>
      <c r="KRK45" s="1"/>
      <c r="KRL45" s="1"/>
      <c r="KRM45" s="1"/>
      <c r="KRN45" s="1"/>
      <c r="KRO45" s="1"/>
      <c r="KRP45" s="1"/>
      <c r="KRQ45" s="1"/>
      <c r="KRR45" s="1"/>
      <c r="KRS45" s="1"/>
      <c r="KRT45" s="1"/>
      <c r="KRU45" s="1"/>
      <c r="KRV45" s="1"/>
      <c r="KRW45" s="1"/>
      <c r="KRX45" s="1"/>
      <c r="KRY45" s="1"/>
      <c r="KRZ45" s="1"/>
      <c r="KSA45" s="1"/>
      <c r="KSB45" s="1"/>
      <c r="KSC45" s="1"/>
      <c r="KSD45" s="1"/>
      <c r="KSE45" s="1"/>
      <c r="KSF45" s="1"/>
      <c r="KSG45" s="1"/>
      <c r="KSH45" s="1"/>
      <c r="KSI45" s="1"/>
      <c r="KSJ45" s="1"/>
      <c r="KSK45" s="1"/>
      <c r="KSL45" s="1"/>
      <c r="KSM45" s="1"/>
      <c r="KSN45" s="1"/>
      <c r="KSO45" s="1"/>
      <c r="KSP45" s="1"/>
      <c r="KSQ45" s="1"/>
      <c r="KSR45" s="1"/>
      <c r="KSS45" s="1"/>
      <c r="KST45" s="1"/>
      <c r="KSU45" s="1"/>
      <c r="KSV45" s="1"/>
      <c r="KSW45" s="1"/>
      <c r="KSX45" s="1"/>
      <c r="KSY45" s="1"/>
      <c r="KSZ45" s="1"/>
      <c r="KTA45" s="1"/>
      <c r="KTB45" s="1"/>
      <c r="KTC45" s="1"/>
      <c r="KTD45" s="1"/>
      <c r="KTE45" s="1"/>
      <c r="KTF45" s="1"/>
      <c r="KTG45" s="1"/>
      <c r="KTH45" s="1"/>
      <c r="KTI45" s="1"/>
      <c r="KTJ45" s="1"/>
      <c r="KTK45" s="1"/>
      <c r="KTL45" s="1"/>
      <c r="KTM45" s="1"/>
      <c r="KTN45" s="1"/>
      <c r="KTO45" s="1"/>
      <c r="KTP45" s="1"/>
      <c r="KTQ45" s="1"/>
      <c r="KTR45" s="1"/>
      <c r="KTS45" s="1"/>
      <c r="KTT45" s="1"/>
      <c r="KTU45" s="1"/>
      <c r="KTV45" s="1"/>
      <c r="KTW45" s="1"/>
      <c r="KTX45" s="1"/>
      <c r="KTY45" s="1"/>
      <c r="KTZ45" s="1"/>
      <c r="KUA45" s="1"/>
      <c r="KUB45" s="1"/>
      <c r="KUC45" s="1"/>
      <c r="KUD45" s="1"/>
      <c r="KUE45" s="1"/>
      <c r="KUF45" s="1"/>
      <c r="KUG45" s="1"/>
      <c r="KUH45" s="1"/>
      <c r="KUI45" s="1"/>
      <c r="KUJ45" s="1"/>
      <c r="KUK45" s="1"/>
      <c r="KUL45" s="1"/>
      <c r="KUM45" s="1"/>
      <c r="KUN45" s="1"/>
      <c r="KUO45" s="1"/>
      <c r="KUP45" s="1"/>
      <c r="KUQ45" s="1"/>
      <c r="KUR45" s="1"/>
      <c r="KUS45" s="1"/>
      <c r="KUT45" s="1"/>
      <c r="KUU45" s="1"/>
      <c r="KUV45" s="1"/>
      <c r="KUW45" s="1"/>
      <c r="KUX45" s="1"/>
      <c r="KUY45" s="1"/>
      <c r="KUZ45" s="1"/>
      <c r="KVA45" s="1"/>
      <c r="KVB45" s="1"/>
      <c r="KVC45" s="1"/>
      <c r="KVD45" s="1"/>
      <c r="KVE45" s="1"/>
      <c r="KVF45" s="1"/>
      <c r="KVG45" s="1"/>
      <c r="KVH45" s="1"/>
      <c r="KVI45" s="1"/>
      <c r="KVJ45" s="1"/>
      <c r="KVK45" s="1"/>
      <c r="KVL45" s="1"/>
      <c r="KVM45" s="1"/>
      <c r="KVN45" s="1"/>
      <c r="KVO45" s="1"/>
      <c r="KVP45" s="1"/>
      <c r="KVQ45" s="1"/>
      <c r="KVR45" s="1"/>
      <c r="KVS45" s="1"/>
      <c r="KVT45" s="1"/>
      <c r="KVU45" s="1"/>
      <c r="KVV45" s="1"/>
      <c r="KVW45" s="1"/>
      <c r="KVX45" s="1"/>
      <c r="KVY45" s="1"/>
      <c r="KVZ45" s="1"/>
      <c r="KWA45" s="1"/>
      <c r="KWB45" s="1"/>
      <c r="KWC45" s="1"/>
      <c r="KWD45" s="1"/>
      <c r="KWE45" s="1"/>
      <c r="KWF45" s="1"/>
      <c r="KWG45" s="1"/>
      <c r="KWH45" s="1"/>
      <c r="KWI45" s="1"/>
      <c r="KWJ45" s="1"/>
      <c r="KWK45" s="1"/>
      <c r="KWL45" s="1"/>
      <c r="KWM45" s="1"/>
      <c r="KWN45" s="1"/>
      <c r="KWO45" s="1"/>
      <c r="KWP45" s="1"/>
      <c r="KWQ45" s="1"/>
      <c r="KWR45" s="1"/>
      <c r="KWS45" s="1"/>
      <c r="KWT45" s="1"/>
      <c r="KWU45" s="1"/>
      <c r="KWV45" s="1"/>
      <c r="KWW45" s="1"/>
      <c r="KWX45" s="1"/>
      <c r="KWY45" s="1"/>
      <c r="KWZ45" s="1"/>
      <c r="KXA45" s="1"/>
      <c r="KXB45" s="1"/>
      <c r="KXC45" s="1"/>
      <c r="KXD45" s="1"/>
      <c r="KXE45" s="1"/>
      <c r="KXF45" s="1"/>
      <c r="KXG45" s="1"/>
      <c r="KXH45" s="1"/>
      <c r="KXI45" s="1"/>
      <c r="KXJ45" s="1"/>
      <c r="KXK45" s="1"/>
      <c r="KXL45" s="1"/>
      <c r="KXM45" s="1"/>
      <c r="KXN45" s="1"/>
      <c r="KXO45" s="1"/>
      <c r="KXP45" s="1"/>
      <c r="KXQ45" s="1"/>
      <c r="KXR45" s="1"/>
      <c r="KXS45" s="1"/>
      <c r="KXT45" s="1"/>
      <c r="KXU45" s="1"/>
      <c r="KXV45" s="1"/>
      <c r="KXW45" s="1"/>
      <c r="KXX45" s="1"/>
      <c r="KXY45" s="1"/>
      <c r="KXZ45" s="1"/>
      <c r="KYA45" s="1"/>
      <c r="KYB45" s="1"/>
      <c r="KYC45" s="1"/>
      <c r="KYD45" s="1"/>
      <c r="KYE45" s="1"/>
      <c r="KYF45" s="1"/>
      <c r="KYG45" s="1"/>
      <c r="KYH45" s="1"/>
      <c r="KYI45" s="1"/>
      <c r="KYJ45" s="1"/>
      <c r="KYK45" s="1"/>
      <c r="KYL45" s="1"/>
      <c r="KYM45" s="1"/>
      <c r="KYN45" s="1"/>
      <c r="KYO45" s="1"/>
      <c r="KYP45" s="1"/>
      <c r="KYQ45" s="1"/>
      <c r="KYR45" s="1"/>
      <c r="KYS45" s="1"/>
      <c r="KYT45" s="1"/>
      <c r="KYU45" s="1"/>
      <c r="KYV45" s="1"/>
      <c r="KYW45" s="1"/>
      <c r="KYX45" s="1"/>
      <c r="KYY45" s="1"/>
      <c r="KYZ45" s="1"/>
      <c r="KZA45" s="1"/>
      <c r="KZB45" s="1"/>
      <c r="KZC45" s="1"/>
      <c r="KZD45" s="1"/>
      <c r="KZE45" s="1"/>
      <c r="KZF45" s="1"/>
      <c r="KZG45" s="1"/>
      <c r="KZH45" s="1"/>
      <c r="KZI45" s="1"/>
      <c r="KZJ45" s="1"/>
      <c r="KZK45" s="1"/>
      <c r="KZL45" s="1"/>
      <c r="KZM45" s="1"/>
      <c r="KZN45" s="1"/>
      <c r="KZO45" s="1"/>
      <c r="KZP45" s="1"/>
      <c r="KZQ45" s="1"/>
      <c r="KZR45" s="1"/>
      <c r="KZS45" s="1"/>
      <c r="KZT45" s="1"/>
      <c r="KZU45" s="1"/>
      <c r="KZV45" s="1"/>
      <c r="KZW45" s="1"/>
      <c r="KZX45" s="1"/>
      <c r="KZY45" s="1"/>
      <c r="KZZ45" s="1"/>
      <c r="LAA45" s="1"/>
      <c r="LAB45" s="1"/>
      <c r="LAC45" s="1"/>
      <c r="LAD45" s="1"/>
      <c r="LAE45" s="1"/>
      <c r="LAF45" s="1"/>
      <c r="LAG45" s="1"/>
      <c r="LAH45" s="1"/>
      <c r="LAI45" s="1"/>
      <c r="LAJ45" s="1"/>
      <c r="LAK45" s="1"/>
      <c r="LAL45" s="1"/>
      <c r="LAM45" s="1"/>
      <c r="LAN45" s="1"/>
      <c r="LAO45" s="1"/>
      <c r="LAP45" s="1"/>
      <c r="LAQ45" s="1"/>
      <c r="LAR45" s="1"/>
      <c r="LAS45" s="1"/>
      <c r="LAT45" s="1"/>
      <c r="LAU45" s="1"/>
      <c r="LAV45" s="1"/>
      <c r="LAW45" s="1"/>
      <c r="LAX45" s="1"/>
      <c r="LAY45" s="1"/>
      <c r="LAZ45" s="1"/>
      <c r="LBA45" s="1"/>
      <c r="LBB45" s="1"/>
      <c r="LBC45" s="1"/>
      <c r="LBD45" s="1"/>
      <c r="LBE45" s="1"/>
      <c r="LBF45" s="1"/>
      <c r="LBG45" s="1"/>
      <c r="LBH45" s="1"/>
      <c r="LBI45" s="1"/>
      <c r="LBJ45" s="1"/>
      <c r="LBK45" s="1"/>
      <c r="LBL45" s="1"/>
      <c r="LBM45" s="1"/>
      <c r="LBN45" s="1"/>
      <c r="LBO45" s="1"/>
      <c r="LBP45" s="1"/>
      <c r="LBQ45" s="1"/>
      <c r="LBR45" s="1"/>
      <c r="LBS45" s="1"/>
      <c r="LBT45" s="1"/>
      <c r="LBU45" s="1"/>
      <c r="LBV45" s="1"/>
      <c r="LBW45" s="1"/>
      <c r="LBX45" s="1"/>
      <c r="LBY45" s="1"/>
      <c r="LBZ45" s="1"/>
      <c r="LCA45" s="1"/>
      <c r="LCB45" s="1"/>
      <c r="LCC45" s="1"/>
      <c r="LCD45" s="1"/>
      <c r="LCE45" s="1"/>
      <c r="LCF45" s="1"/>
      <c r="LCG45" s="1"/>
      <c r="LCH45" s="1"/>
      <c r="LCI45" s="1"/>
      <c r="LCJ45" s="1"/>
      <c r="LCK45" s="1"/>
      <c r="LCL45" s="1"/>
      <c r="LCM45" s="1"/>
      <c r="LCN45" s="1"/>
      <c r="LCO45" s="1"/>
      <c r="LCP45" s="1"/>
      <c r="LCQ45" s="1"/>
      <c r="LCR45" s="1"/>
      <c r="LCS45" s="1"/>
      <c r="LCT45" s="1"/>
      <c r="LCU45" s="1"/>
      <c r="LCV45" s="1"/>
      <c r="LCW45" s="1"/>
      <c r="LCX45" s="1"/>
      <c r="LCY45" s="1"/>
      <c r="LCZ45" s="1"/>
      <c r="LDA45" s="1"/>
      <c r="LDB45" s="1"/>
      <c r="LDC45" s="1"/>
      <c r="LDD45" s="1"/>
      <c r="LDE45" s="1"/>
      <c r="LDF45" s="1"/>
      <c r="LDG45" s="1"/>
      <c r="LDH45" s="1"/>
      <c r="LDI45" s="1"/>
      <c r="LDJ45" s="1"/>
      <c r="LDK45" s="1"/>
      <c r="LDL45" s="1"/>
      <c r="LDM45" s="1"/>
      <c r="LDN45" s="1"/>
      <c r="LDO45" s="1"/>
      <c r="LDP45" s="1"/>
      <c r="LDQ45" s="1"/>
      <c r="LDR45" s="1"/>
      <c r="LDS45" s="1"/>
      <c r="LDT45" s="1"/>
      <c r="LDU45" s="1"/>
      <c r="LDV45" s="1"/>
      <c r="LDW45" s="1"/>
      <c r="LDX45" s="1"/>
      <c r="LDY45" s="1"/>
      <c r="LDZ45" s="1"/>
      <c r="LEA45" s="1"/>
      <c r="LEB45" s="1"/>
      <c r="LEC45" s="1"/>
      <c r="LED45" s="1"/>
      <c r="LEE45" s="1"/>
      <c r="LEF45" s="1"/>
      <c r="LEG45" s="1"/>
      <c r="LEH45" s="1"/>
      <c r="LEI45" s="1"/>
      <c r="LEJ45" s="1"/>
      <c r="LEK45" s="1"/>
      <c r="LEL45" s="1"/>
      <c r="LEM45" s="1"/>
      <c r="LEN45" s="1"/>
      <c r="LEO45" s="1"/>
      <c r="LEP45" s="1"/>
      <c r="LEQ45" s="1"/>
      <c r="LER45" s="1"/>
      <c r="LES45" s="1"/>
      <c r="LET45" s="1"/>
      <c r="LEU45" s="1"/>
      <c r="LEV45" s="1"/>
      <c r="LEW45" s="1"/>
      <c r="LEX45" s="1"/>
      <c r="LEY45" s="1"/>
      <c r="LEZ45" s="1"/>
      <c r="LFA45" s="1"/>
      <c r="LFB45" s="1"/>
      <c r="LFC45" s="1"/>
      <c r="LFD45" s="1"/>
      <c r="LFE45" s="1"/>
      <c r="LFF45" s="1"/>
      <c r="LFG45" s="1"/>
      <c r="LFH45" s="1"/>
      <c r="LFI45" s="1"/>
      <c r="LFJ45" s="1"/>
      <c r="LFK45" s="1"/>
      <c r="LFL45" s="1"/>
      <c r="LFM45" s="1"/>
      <c r="LFN45" s="1"/>
      <c r="LFO45" s="1"/>
      <c r="LFP45" s="1"/>
      <c r="LFQ45" s="1"/>
      <c r="LFR45" s="1"/>
      <c r="LFS45" s="1"/>
      <c r="LFT45" s="1"/>
      <c r="LFU45" s="1"/>
      <c r="LFV45" s="1"/>
      <c r="LFW45" s="1"/>
      <c r="LFX45" s="1"/>
      <c r="LFY45" s="1"/>
      <c r="LFZ45" s="1"/>
      <c r="LGA45" s="1"/>
      <c r="LGB45" s="1"/>
      <c r="LGC45" s="1"/>
      <c r="LGD45" s="1"/>
      <c r="LGE45" s="1"/>
      <c r="LGF45" s="1"/>
      <c r="LGG45" s="1"/>
      <c r="LGH45" s="1"/>
      <c r="LGI45" s="1"/>
      <c r="LGJ45" s="1"/>
      <c r="LGK45" s="1"/>
      <c r="LGL45" s="1"/>
      <c r="LGM45" s="1"/>
      <c r="LGN45" s="1"/>
      <c r="LGO45" s="1"/>
      <c r="LGP45" s="1"/>
      <c r="LGQ45" s="1"/>
      <c r="LGR45" s="1"/>
      <c r="LGS45" s="1"/>
      <c r="LGT45" s="1"/>
      <c r="LGU45" s="1"/>
      <c r="LGV45" s="1"/>
      <c r="LGW45" s="1"/>
      <c r="LGX45" s="1"/>
      <c r="LGY45" s="1"/>
      <c r="LGZ45" s="1"/>
      <c r="LHA45" s="1"/>
      <c r="LHB45" s="1"/>
      <c r="LHC45" s="1"/>
      <c r="LHD45" s="1"/>
      <c r="LHE45" s="1"/>
      <c r="LHF45" s="1"/>
      <c r="LHG45" s="1"/>
      <c r="LHH45" s="1"/>
      <c r="LHI45" s="1"/>
      <c r="LHJ45" s="1"/>
      <c r="LHK45" s="1"/>
      <c r="LHL45" s="1"/>
      <c r="LHM45" s="1"/>
      <c r="LHN45" s="1"/>
      <c r="LHO45" s="1"/>
      <c r="LHP45" s="1"/>
      <c r="LHQ45" s="1"/>
      <c r="LHR45" s="1"/>
      <c r="LHS45" s="1"/>
      <c r="LHT45" s="1"/>
      <c r="LHU45" s="1"/>
      <c r="LHV45" s="1"/>
      <c r="LHW45" s="1"/>
      <c r="LHX45" s="1"/>
      <c r="LHY45" s="1"/>
      <c r="LHZ45" s="1"/>
      <c r="LIA45" s="1"/>
      <c r="LIB45" s="1"/>
      <c r="LIC45" s="1"/>
      <c r="LID45" s="1"/>
      <c r="LIE45" s="1"/>
      <c r="LIF45" s="1"/>
      <c r="LIG45" s="1"/>
      <c r="LIH45" s="1"/>
      <c r="LII45" s="1"/>
      <c r="LIJ45" s="1"/>
      <c r="LIK45" s="1"/>
      <c r="LIL45" s="1"/>
      <c r="LIM45" s="1"/>
      <c r="LIN45" s="1"/>
      <c r="LIO45" s="1"/>
      <c r="LIP45" s="1"/>
      <c r="LIQ45" s="1"/>
      <c r="LIR45" s="1"/>
      <c r="LIS45" s="1"/>
      <c r="LIT45" s="1"/>
      <c r="LIU45" s="1"/>
      <c r="LIV45" s="1"/>
      <c r="LIW45" s="1"/>
      <c r="LIX45" s="1"/>
      <c r="LIY45" s="1"/>
      <c r="LIZ45" s="1"/>
      <c r="LJA45" s="1"/>
      <c r="LJB45" s="1"/>
      <c r="LJC45" s="1"/>
      <c r="LJD45" s="1"/>
      <c r="LJE45" s="1"/>
      <c r="LJF45" s="1"/>
      <c r="LJG45" s="1"/>
      <c r="LJH45" s="1"/>
      <c r="LJI45" s="1"/>
      <c r="LJJ45" s="1"/>
      <c r="LJK45" s="1"/>
      <c r="LJL45" s="1"/>
      <c r="LJM45" s="1"/>
      <c r="LJN45" s="1"/>
      <c r="LJO45" s="1"/>
      <c r="LJP45" s="1"/>
      <c r="LJQ45" s="1"/>
      <c r="LJR45" s="1"/>
      <c r="LJS45" s="1"/>
      <c r="LJT45" s="1"/>
      <c r="LJU45" s="1"/>
      <c r="LJV45" s="1"/>
      <c r="LJW45" s="1"/>
      <c r="LJX45" s="1"/>
      <c r="LJY45" s="1"/>
      <c r="LJZ45" s="1"/>
      <c r="LKA45" s="1"/>
      <c r="LKB45" s="1"/>
      <c r="LKC45" s="1"/>
      <c r="LKD45" s="1"/>
      <c r="LKE45" s="1"/>
      <c r="LKF45" s="1"/>
      <c r="LKG45" s="1"/>
      <c r="LKH45" s="1"/>
      <c r="LKI45" s="1"/>
      <c r="LKJ45" s="1"/>
      <c r="LKK45" s="1"/>
      <c r="LKL45" s="1"/>
      <c r="LKM45" s="1"/>
      <c r="LKN45" s="1"/>
      <c r="LKO45" s="1"/>
      <c r="LKP45" s="1"/>
      <c r="LKQ45" s="1"/>
      <c r="LKR45" s="1"/>
      <c r="LKS45" s="1"/>
      <c r="LKT45" s="1"/>
      <c r="LKU45" s="1"/>
      <c r="LKV45" s="1"/>
      <c r="LKW45" s="1"/>
      <c r="LKX45" s="1"/>
      <c r="LKY45" s="1"/>
      <c r="LKZ45" s="1"/>
      <c r="LLA45" s="1"/>
      <c r="LLB45" s="1"/>
      <c r="LLC45" s="1"/>
      <c r="LLD45" s="1"/>
      <c r="LLE45" s="1"/>
      <c r="LLF45" s="1"/>
      <c r="LLG45" s="1"/>
      <c r="LLH45" s="1"/>
      <c r="LLI45" s="1"/>
      <c r="LLJ45" s="1"/>
      <c r="LLK45" s="1"/>
      <c r="LLL45" s="1"/>
      <c r="LLM45" s="1"/>
      <c r="LLN45" s="1"/>
      <c r="LLO45" s="1"/>
      <c r="LLP45" s="1"/>
      <c r="LLQ45" s="1"/>
      <c r="LLR45" s="1"/>
      <c r="LLS45" s="1"/>
      <c r="LLT45" s="1"/>
      <c r="LLU45" s="1"/>
      <c r="LLV45" s="1"/>
      <c r="LLW45" s="1"/>
      <c r="LLX45" s="1"/>
      <c r="LLY45" s="1"/>
      <c r="LLZ45" s="1"/>
      <c r="LMA45" s="1"/>
      <c r="LMB45" s="1"/>
      <c r="LMC45" s="1"/>
      <c r="LMD45" s="1"/>
      <c r="LME45" s="1"/>
      <c r="LMF45" s="1"/>
      <c r="LMG45" s="1"/>
      <c r="LMH45" s="1"/>
      <c r="LMI45" s="1"/>
      <c r="LMJ45" s="1"/>
      <c r="LMK45" s="1"/>
      <c r="LML45" s="1"/>
      <c r="LMM45" s="1"/>
      <c r="LMN45" s="1"/>
      <c r="LMO45" s="1"/>
      <c r="LMP45" s="1"/>
      <c r="LMQ45" s="1"/>
      <c r="LMR45" s="1"/>
      <c r="LMS45" s="1"/>
      <c r="LMT45" s="1"/>
      <c r="LMU45" s="1"/>
      <c r="LMV45" s="1"/>
      <c r="LMW45" s="1"/>
      <c r="LMX45" s="1"/>
      <c r="LMY45" s="1"/>
      <c r="LMZ45" s="1"/>
      <c r="LNA45" s="1"/>
      <c r="LNB45" s="1"/>
      <c r="LNC45" s="1"/>
      <c r="LND45" s="1"/>
      <c r="LNE45" s="1"/>
      <c r="LNF45" s="1"/>
      <c r="LNG45" s="1"/>
      <c r="LNH45" s="1"/>
      <c r="LNI45" s="1"/>
      <c r="LNJ45" s="1"/>
      <c r="LNK45" s="1"/>
      <c r="LNL45" s="1"/>
      <c r="LNM45" s="1"/>
      <c r="LNN45" s="1"/>
      <c r="LNO45" s="1"/>
      <c r="LNP45" s="1"/>
      <c r="LNQ45" s="1"/>
      <c r="LNR45" s="1"/>
      <c r="LNS45" s="1"/>
      <c r="LNT45" s="1"/>
      <c r="LNU45" s="1"/>
      <c r="LNV45" s="1"/>
      <c r="LNW45" s="1"/>
      <c r="LNX45" s="1"/>
      <c r="LNY45" s="1"/>
      <c r="LNZ45" s="1"/>
      <c r="LOA45" s="1"/>
      <c r="LOB45" s="1"/>
      <c r="LOC45" s="1"/>
      <c r="LOD45" s="1"/>
      <c r="LOE45" s="1"/>
      <c r="LOF45" s="1"/>
      <c r="LOG45" s="1"/>
      <c r="LOH45" s="1"/>
      <c r="LOI45" s="1"/>
      <c r="LOJ45" s="1"/>
      <c r="LOK45" s="1"/>
      <c r="LOL45" s="1"/>
      <c r="LOM45" s="1"/>
      <c r="LON45" s="1"/>
      <c r="LOO45" s="1"/>
      <c r="LOP45" s="1"/>
      <c r="LOQ45" s="1"/>
      <c r="LOR45" s="1"/>
      <c r="LOS45" s="1"/>
      <c r="LOT45" s="1"/>
      <c r="LOU45" s="1"/>
      <c r="LOV45" s="1"/>
      <c r="LOW45" s="1"/>
      <c r="LOX45" s="1"/>
      <c r="LOY45" s="1"/>
      <c r="LOZ45" s="1"/>
      <c r="LPA45" s="1"/>
      <c r="LPB45" s="1"/>
      <c r="LPC45" s="1"/>
      <c r="LPD45" s="1"/>
      <c r="LPE45" s="1"/>
      <c r="LPF45" s="1"/>
      <c r="LPG45" s="1"/>
      <c r="LPH45" s="1"/>
      <c r="LPI45" s="1"/>
      <c r="LPJ45" s="1"/>
      <c r="LPK45" s="1"/>
      <c r="LPL45" s="1"/>
      <c r="LPM45" s="1"/>
      <c r="LPN45" s="1"/>
      <c r="LPO45" s="1"/>
      <c r="LPP45" s="1"/>
      <c r="LPQ45" s="1"/>
      <c r="LPR45" s="1"/>
      <c r="LPS45" s="1"/>
      <c r="LPT45" s="1"/>
      <c r="LPU45" s="1"/>
      <c r="LPV45" s="1"/>
      <c r="LPW45" s="1"/>
      <c r="LPX45" s="1"/>
      <c r="LPY45" s="1"/>
      <c r="LPZ45" s="1"/>
      <c r="LQA45" s="1"/>
      <c r="LQB45" s="1"/>
      <c r="LQC45" s="1"/>
      <c r="LQD45" s="1"/>
      <c r="LQE45" s="1"/>
      <c r="LQF45" s="1"/>
      <c r="LQG45" s="1"/>
      <c r="LQH45" s="1"/>
      <c r="LQI45" s="1"/>
      <c r="LQJ45" s="1"/>
      <c r="LQK45" s="1"/>
      <c r="LQL45" s="1"/>
      <c r="LQM45" s="1"/>
      <c r="LQN45" s="1"/>
      <c r="LQO45" s="1"/>
      <c r="LQP45" s="1"/>
      <c r="LQQ45" s="1"/>
      <c r="LQR45" s="1"/>
      <c r="LQS45" s="1"/>
      <c r="LQT45" s="1"/>
      <c r="LQU45" s="1"/>
      <c r="LQV45" s="1"/>
      <c r="LQW45" s="1"/>
      <c r="LQX45" s="1"/>
      <c r="LQY45" s="1"/>
      <c r="LQZ45" s="1"/>
      <c r="LRA45" s="1"/>
      <c r="LRB45" s="1"/>
      <c r="LRC45" s="1"/>
      <c r="LRD45" s="1"/>
      <c r="LRE45" s="1"/>
      <c r="LRF45" s="1"/>
      <c r="LRG45" s="1"/>
      <c r="LRH45" s="1"/>
      <c r="LRI45" s="1"/>
      <c r="LRJ45" s="1"/>
      <c r="LRK45" s="1"/>
      <c r="LRL45" s="1"/>
      <c r="LRM45" s="1"/>
      <c r="LRN45" s="1"/>
      <c r="LRO45" s="1"/>
      <c r="LRP45" s="1"/>
      <c r="LRQ45" s="1"/>
      <c r="LRR45" s="1"/>
      <c r="LRS45" s="1"/>
      <c r="LRT45" s="1"/>
      <c r="LRU45" s="1"/>
      <c r="LRV45" s="1"/>
      <c r="LRW45" s="1"/>
      <c r="LRX45" s="1"/>
      <c r="LRY45" s="1"/>
      <c r="LRZ45" s="1"/>
      <c r="LSA45" s="1"/>
      <c r="LSB45" s="1"/>
      <c r="LSC45" s="1"/>
      <c r="LSD45" s="1"/>
      <c r="LSE45" s="1"/>
      <c r="LSF45" s="1"/>
      <c r="LSG45" s="1"/>
      <c r="LSH45" s="1"/>
      <c r="LSI45" s="1"/>
      <c r="LSJ45" s="1"/>
      <c r="LSK45" s="1"/>
      <c r="LSL45" s="1"/>
      <c r="LSM45" s="1"/>
      <c r="LSN45" s="1"/>
      <c r="LSO45" s="1"/>
      <c r="LSP45" s="1"/>
      <c r="LSQ45" s="1"/>
      <c r="LSR45" s="1"/>
      <c r="LSS45" s="1"/>
      <c r="LST45" s="1"/>
      <c r="LSU45" s="1"/>
      <c r="LSV45" s="1"/>
      <c r="LSW45" s="1"/>
      <c r="LSX45" s="1"/>
      <c r="LSY45" s="1"/>
      <c r="LSZ45" s="1"/>
      <c r="LTA45" s="1"/>
      <c r="LTB45" s="1"/>
      <c r="LTC45" s="1"/>
      <c r="LTD45" s="1"/>
      <c r="LTE45" s="1"/>
      <c r="LTF45" s="1"/>
      <c r="LTG45" s="1"/>
      <c r="LTH45" s="1"/>
      <c r="LTI45" s="1"/>
      <c r="LTJ45" s="1"/>
      <c r="LTK45" s="1"/>
      <c r="LTL45" s="1"/>
      <c r="LTM45" s="1"/>
      <c r="LTN45" s="1"/>
      <c r="LTO45" s="1"/>
      <c r="LTP45" s="1"/>
      <c r="LTQ45" s="1"/>
      <c r="LTR45" s="1"/>
      <c r="LTS45" s="1"/>
      <c r="LTT45" s="1"/>
      <c r="LTU45" s="1"/>
      <c r="LTV45" s="1"/>
      <c r="LTW45" s="1"/>
      <c r="LTX45" s="1"/>
      <c r="LTY45" s="1"/>
      <c r="LTZ45" s="1"/>
      <c r="LUA45" s="1"/>
      <c r="LUB45" s="1"/>
      <c r="LUC45" s="1"/>
      <c r="LUD45" s="1"/>
      <c r="LUE45" s="1"/>
      <c r="LUF45" s="1"/>
      <c r="LUG45" s="1"/>
      <c r="LUH45" s="1"/>
      <c r="LUI45" s="1"/>
      <c r="LUJ45" s="1"/>
      <c r="LUK45" s="1"/>
      <c r="LUL45" s="1"/>
      <c r="LUM45" s="1"/>
      <c r="LUN45" s="1"/>
      <c r="LUO45" s="1"/>
      <c r="LUP45" s="1"/>
      <c r="LUQ45" s="1"/>
      <c r="LUR45" s="1"/>
      <c r="LUS45" s="1"/>
      <c r="LUT45" s="1"/>
      <c r="LUU45" s="1"/>
      <c r="LUV45" s="1"/>
      <c r="LUW45" s="1"/>
      <c r="LUX45" s="1"/>
      <c r="LUY45" s="1"/>
      <c r="LUZ45" s="1"/>
      <c r="LVA45" s="1"/>
      <c r="LVB45" s="1"/>
      <c r="LVC45" s="1"/>
      <c r="LVD45" s="1"/>
      <c r="LVE45" s="1"/>
      <c r="LVF45" s="1"/>
      <c r="LVG45" s="1"/>
      <c r="LVH45" s="1"/>
      <c r="LVI45" s="1"/>
      <c r="LVJ45" s="1"/>
      <c r="LVK45" s="1"/>
      <c r="LVL45" s="1"/>
      <c r="LVM45" s="1"/>
      <c r="LVN45" s="1"/>
      <c r="LVO45" s="1"/>
      <c r="LVP45" s="1"/>
      <c r="LVQ45" s="1"/>
      <c r="LVR45" s="1"/>
      <c r="LVS45" s="1"/>
      <c r="LVT45" s="1"/>
      <c r="LVU45" s="1"/>
      <c r="LVV45" s="1"/>
      <c r="LVW45" s="1"/>
      <c r="LVX45" s="1"/>
      <c r="LVY45" s="1"/>
      <c r="LVZ45" s="1"/>
      <c r="LWA45" s="1"/>
      <c r="LWB45" s="1"/>
      <c r="LWC45" s="1"/>
      <c r="LWD45" s="1"/>
      <c r="LWE45" s="1"/>
      <c r="LWF45" s="1"/>
      <c r="LWG45" s="1"/>
      <c r="LWH45" s="1"/>
      <c r="LWI45" s="1"/>
      <c r="LWJ45" s="1"/>
      <c r="LWK45" s="1"/>
      <c r="LWL45" s="1"/>
      <c r="LWM45" s="1"/>
      <c r="LWN45" s="1"/>
      <c r="LWO45" s="1"/>
      <c r="LWP45" s="1"/>
      <c r="LWQ45" s="1"/>
      <c r="LWR45" s="1"/>
      <c r="LWS45" s="1"/>
      <c r="LWT45" s="1"/>
      <c r="LWU45" s="1"/>
      <c r="LWV45" s="1"/>
      <c r="LWW45" s="1"/>
      <c r="LWX45" s="1"/>
      <c r="LWY45" s="1"/>
      <c r="LWZ45" s="1"/>
      <c r="LXA45" s="1"/>
      <c r="LXB45" s="1"/>
      <c r="LXC45" s="1"/>
      <c r="LXD45" s="1"/>
      <c r="LXE45" s="1"/>
      <c r="LXF45" s="1"/>
      <c r="LXG45" s="1"/>
      <c r="LXH45" s="1"/>
      <c r="LXI45" s="1"/>
      <c r="LXJ45" s="1"/>
      <c r="LXK45" s="1"/>
      <c r="LXL45" s="1"/>
      <c r="LXM45" s="1"/>
      <c r="LXN45" s="1"/>
      <c r="LXO45" s="1"/>
      <c r="LXP45" s="1"/>
      <c r="LXQ45" s="1"/>
      <c r="LXR45" s="1"/>
      <c r="LXS45" s="1"/>
      <c r="LXT45" s="1"/>
      <c r="LXU45" s="1"/>
      <c r="LXV45" s="1"/>
      <c r="LXW45" s="1"/>
      <c r="LXX45" s="1"/>
      <c r="LXY45" s="1"/>
      <c r="LXZ45" s="1"/>
      <c r="LYA45" s="1"/>
      <c r="LYB45" s="1"/>
      <c r="LYC45" s="1"/>
      <c r="LYD45" s="1"/>
      <c r="LYE45" s="1"/>
      <c r="LYF45" s="1"/>
      <c r="LYG45" s="1"/>
      <c r="LYH45" s="1"/>
      <c r="LYI45" s="1"/>
      <c r="LYJ45" s="1"/>
      <c r="LYK45" s="1"/>
      <c r="LYL45" s="1"/>
      <c r="LYM45" s="1"/>
      <c r="LYN45" s="1"/>
      <c r="LYO45" s="1"/>
      <c r="LYP45" s="1"/>
      <c r="LYQ45" s="1"/>
      <c r="LYR45" s="1"/>
      <c r="LYS45" s="1"/>
      <c r="LYT45" s="1"/>
      <c r="LYU45" s="1"/>
      <c r="LYV45" s="1"/>
      <c r="LYW45" s="1"/>
      <c r="LYX45" s="1"/>
      <c r="LYY45" s="1"/>
      <c r="LYZ45" s="1"/>
      <c r="LZA45" s="1"/>
      <c r="LZB45" s="1"/>
      <c r="LZC45" s="1"/>
      <c r="LZD45" s="1"/>
      <c r="LZE45" s="1"/>
      <c r="LZF45" s="1"/>
      <c r="LZG45" s="1"/>
      <c r="LZH45" s="1"/>
      <c r="LZI45" s="1"/>
      <c r="LZJ45" s="1"/>
      <c r="LZK45" s="1"/>
      <c r="LZL45" s="1"/>
      <c r="LZM45" s="1"/>
      <c r="LZN45" s="1"/>
      <c r="LZO45" s="1"/>
      <c r="LZP45" s="1"/>
      <c r="LZQ45" s="1"/>
      <c r="LZR45" s="1"/>
      <c r="LZS45" s="1"/>
      <c r="LZT45" s="1"/>
      <c r="LZU45" s="1"/>
      <c r="LZV45" s="1"/>
      <c r="LZW45" s="1"/>
      <c r="LZX45" s="1"/>
      <c r="LZY45" s="1"/>
      <c r="LZZ45" s="1"/>
      <c r="MAA45" s="1"/>
      <c r="MAB45" s="1"/>
      <c r="MAC45" s="1"/>
      <c r="MAD45" s="1"/>
      <c r="MAE45" s="1"/>
      <c r="MAF45" s="1"/>
      <c r="MAG45" s="1"/>
      <c r="MAH45" s="1"/>
      <c r="MAI45" s="1"/>
      <c r="MAJ45" s="1"/>
      <c r="MAK45" s="1"/>
      <c r="MAL45" s="1"/>
      <c r="MAM45" s="1"/>
      <c r="MAN45" s="1"/>
      <c r="MAO45" s="1"/>
      <c r="MAP45" s="1"/>
      <c r="MAQ45" s="1"/>
      <c r="MAR45" s="1"/>
      <c r="MAS45" s="1"/>
      <c r="MAT45" s="1"/>
      <c r="MAU45" s="1"/>
      <c r="MAV45" s="1"/>
      <c r="MAW45" s="1"/>
      <c r="MAX45" s="1"/>
      <c r="MAY45" s="1"/>
      <c r="MAZ45" s="1"/>
      <c r="MBA45" s="1"/>
      <c r="MBB45" s="1"/>
      <c r="MBC45" s="1"/>
      <c r="MBD45" s="1"/>
      <c r="MBE45" s="1"/>
      <c r="MBF45" s="1"/>
      <c r="MBG45" s="1"/>
      <c r="MBH45" s="1"/>
      <c r="MBI45" s="1"/>
      <c r="MBJ45" s="1"/>
      <c r="MBK45" s="1"/>
      <c r="MBL45" s="1"/>
      <c r="MBM45" s="1"/>
      <c r="MBN45" s="1"/>
      <c r="MBO45" s="1"/>
      <c r="MBP45" s="1"/>
      <c r="MBQ45" s="1"/>
      <c r="MBR45" s="1"/>
      <c r="MBS45" s="1"/>
      <c r="MBT45" s="1"/>
      <c r="MBU45" s="1"/>
      <c r="MBV45" s="1"/>
      <c r="MBW45" s="1"/>
      <c r="MBX45" s="1"/>
      <c r="MBY45" s="1"/>
      <c r="MBZ45" s="1"/>
      <c r="MCA45" s="1"/>
      <c r="MCB45" s="1"/>
      <c r="MCC45" s="1"/>
      <c r="MCD45" s="1"/>
      <c r="MCE45" s="1"/>
      <c r="MCF45" s="1"/>
      <c r="MCG45" s="1"/>
      <c r="MCH45" s="1"/>
      <c r="MCI45" s="1"/>
      <c r="MCJ45" s="1"/>
      <c r="MCK45" s="1"/>
      <c r="MCL45" s="1"/>
      <c r="MCM45" s="1"/>
      <c r="MCN45" s="1"/>
      <c r="MCO45" s="1"/>
      <c r="MCP45" s="1"/>
      <c r="MCQ45" s="1"/>
      <c r="MCR45" s="1"/>
      <c r="MCS45" s="1"/>
      <c r="MCT45" s="1"/>
      <c r="MCU45" s="1"/>
      <c r="MCV45" s="1"/>
      <c r="MCW45" s="1"/>
      <c r="MCX45" s="1"/>
      <c r="MCY45" s="1"/>
      <c r="MCZ45" s="1"/>
      <c r="MDA45" s="1"/>
      <c r="MDB45" s="1"/>
      <c r="MDC45" s="1"/>
      <c r="MDD45" s="1"/>
      <c r="MDE45" s="1"/>
      <c r="MDF45" s="1"/>
      <c r="MDG45" s="1"/>
      <c r="MDH45" s="1"/>
      <c r="MDI45" s="1"/>
      <c r="MDJ45" s="1"/>
      <c r="MDK45" s="1"/>
      <c r="MDL45" s="1"/>
      <c r="MDM45" s="1"/>
      <c r="MDN45" s="1"/>
      <c r="MDO45" s="1"/>
      <c r="MDP45" s="1"/>
      <c r="MDQ45" s="1"/>
      <c r="MDR45" s="1"/>
      <c r="MDS45" s="1"/>
      <c r="MDT45" s="1"/>
      <c r="MDU45" s="1"/>
      <c r="MDV45" s="1"/>
      <c r="MDW45" s="1"/>
      <c r="MDX45" s="1"/>
      <c r="MDY45" s="1"/>
      <c r="MDZ45" s="1"/>
      <c r="MEA45" s="1"/>
      <c r="MEB45" s="1"/>
      <c r="MEC45" s="1"/>
      <c r="MED45" s="1"/>
      <c r="MEE45" s="1"/>
      <c r="MEF45" s="1"/>
      <c r="MEG45" s="1"/>
      <c r="MEH45" s="1"/>
      <c r="MEI45" s="1"/>
      <c r="MEJ45" s="1"/>
      <c r="MEK45" s="1"/>
      <c r="MEL45" s="1"/>
      <c r="MEM45" s="1"/>
      <c r="MEN45" s="1"/>
      <c r="MEO45" s="1"/>
      <c r="MEP45" s="1"/>
      <c r="MEQ45" s="1"/>
      <c r="MER45" s="1"/>
      <c r="MES45" s="1"/>
      <c r="MET45" s="1"/>
      <c r="MEU45" s="1"/>
      <c r="MEV45" s="1"/>
      <c r="MEW45" s="1"/>
      <c r="MEX45" s="1"/>
      <c r="MEY45" s="1"/>
      <c r="MEZ45" s="1"/>
      <c r="MFA45" s="1"/>
      <c r="MFB45" s="1"/>
      <c r="MFC45" s="1"/>
      <c r="MFD45" s="1"/>
      <c r="MFE45" s="1"/>
      <c r="MFF45" s="1"/>
      <c r="MFG45" s="1"/>
      <c r="MFH45" s="1"/>
      <c r="MFI45" s="1"/>
      <c r="MFJ45" s="1"/>
      <c r="MFK45" s="1"/>
      <c r="MFL45" s="1"/>
      <c r="MFM45" s="1"/>
      <c r="MFN45" s="1"/>
      <c r="MFO45" s="1"/>
      <c r="MFP45" s="1"/>
      <c r="MFQ45" s="1"/>
      <c r="MFR45" s="1"/>
      <c r="MFS45" s="1"/>
      <c r="MFT45" s="1"/>
      <c r="MFU45" s="1"/>
      <c r="MFV45" s="1"/>
      <c r="MFW45" s="1"/>
      <c r="MFX45" s="1"/>
      <c r="MFY45" s="1"/>
      <c r="MFZ45" s="1"/>
      <c r="MGA45" s="1"/>
      <c r="MGB45" s="1"/>
      <c r="MGC45" s="1"/>
      <c r="MGD45" s="1"/>
      <c r="MGE45" s="1"/>
      <c r="MGF45" s="1"/>
      <c r="MGG45" s="1"/>
      <c r="MGH45" s="1"/>
      <c r="MGI45" s="1"/>
      <c r="MGJ45" s="1"/>
      <c r="MGK45" s="1"/>
      <c r="MGL45" s="1"/>
      <c r="MGM45" s="1"/>
      <c r="MGN45" s="1"/>
      <c r="MGO45" s="1"/>
      <c r="MGP45" s="1"/>
      <c r="MGQ45" s="1"/>
      <c r="MGR45" s="1"/>
      <c r="MGS45" s="1"/>
      <c r="MGT45" s="1"/>
      <c r="MGU45" s="1"/>
      <c r="MGV45" s="1"/>
      <c r="MGW45" s="1"/>
      <c r="MGX45" s="1"/>
      <c r="MGY45" s="1"/>
      <c r="MGZ45" s="1"/>
      <c r="MHA45" s="1"/>
      <c r="MHB45" s="1"/>
      <c r="MHC45" s="1"/>
      <c r="MHD45" s="1"/>
      <c r="MHE45" s="1"/>
      <c r="MHF45" s="1"/>
      <c r="MHG45" s="1"/>
      <c r="MHH45" s="1"/>
      <c r="MHI45" s="1"/>
      <c r="MHJ45" s="1"/>
      <c r="MHK45" s="1"/>
      <c r="MHL45" s="1"/>
      <c r="MHM45" s="1"/>
      <c r="MHN45" s="1"/>
      <c r="MHO45" s="1"/>
      <c r="MHP45" s="1"/>
      <c r="MHQ45" s="1"/>
      <c r="MHR45" s="1"/>
      <c r="MHS45" s="1"/>
      <c r="MHT45" s="1"/>
      <c r="MHU45" s="1"/>
      <c r="MHV45" s="1"/>
      <c r="MHW45" s="1"/>
      <c r="MHX45" s="1"/>
      <c r="MHY45" s="1"/>
      <c r="MHZ45" s="1"/>
      <c r="MIA45" s="1"/>
      <c r="MIB45" s="1"/>
      <c r="MIC45" s="1"/>
      <c r="MID45" s="1"/>
      <c r="MIE45" s="1"/>
      <c r="MIF45" s="1"/>
      <c r="MIG45" s="1"/>
      <c r="MIH45" s="1"/>
      <c r="MII45" s="1"/>
      <c r="MIJ45" s="1"/>
      <c r="MIK45" s="1"/>
      <c r="MIL45" s="1"/>
      <c r="MIM45" s="1"/>
      <c r="MIN45" s="1"/>
      <c r="MIO45" s="1"/>
      <c r="MIP45" s="1"/>
      <c r="MIQ45" s="1"/>
      <c r="MIR45" s="1"/>
      <c r="MIS45" s="1"/>
      <c r="MIT45" s="1"/>
      <c r="MIU45" s="1"/>
      <c r="MIV45" s="1"/>
      <c r="MIW45" s="1"/>
      <c r="MIX45" s="1"/>
      <c r="MIY45" s="1"/>
      <c r="MIZ45" s="1"/>
      <c r="MJA45" s="1"/>
      <c r="MJB45" s="1"/>
      <c r="MJC45" s="1"/>
      <c r="MJD45" s="1"/>
      <c r="MJE45" s="1"/>
      <c r="MJF45" s="1"/>
      <c r="MJG45" s="1"/>
      <c r="MJH45" s="1"/>
      <c r="MJI45" s="1"/>
      <c r="MJJ45" s="1"/>
      <c r="MJK45" s="1"/>
      <c r="MJL45" s="1"/>
      <c r="MJM45" s="1"/>
      <c r="MJN45" s="1"/>
      <c r="MJO45" s="1"/>
      <c r="MJP45" s="1"/>
      <c r="MJQ45" s="1"/>
      <c r="MJR45" s="1"/>
      <c r="MJS45" s="1"/>
      <c r="MJT45" s="1"/>
      <c r="MJU45" s="1"/>
      <c r="MJV45" s="1"/>
      <c r="MJW45" s="1"/>
      <c r="MJX45" s="1"/>
      <c r="MJY45" s="1"/>
      <c r="MJZ45" s="1"/>
      <c r="MKA45" s="1"/>
      <c r="MKB45" s="1"/>
      <c r="MKC45" s="1"/>
      <c r="MKD45" s="1"/>
      <c r="MKE45" s="1"/>
      <c r="MKF45" s="1"/>
      <c r="MKG45" s="1"/>
      <c r="MKH45" s="1"/>
      <c r="MKI45" s="1"/>
      <c r="MKJ45" s="1"/>
      <c r="MKK45" s="1"/>
      <c r="MKL45" s="1"/>
      <c r="MKM45" s="1"/>
      <c r="MKN45" s="1"/>
      <c r="MKO45" s="1"/>
      <c r="MKP45" s="1"/>
      <c r="MKQ45" s="1"/>
      <c r="MKR45" s="1"/>
      <c r="MKS45" s="1"/>
      <c r="MKT45" s="1"/>
      <c r="MKU45" s="1"/>
      <c r="MKV45" s="1"/>
      <c r="MKW45" s="1"/>
      <c r="MKX45" s="1"/>
      <c r="MKY45" s="1"/>
      <c r="MKZ45" s="1"/>
      <c r="MLA45" s="1"/>
      <c r="MLB45" s="1"/>
      <c r="MLC45" s="1"/>
      <c r="MLD45" s="1"/>
      <c r="MLE45" s="1"/>
      <c r="MLF45" s="1"/>
      <c r="MLG45" s="1"/>
      <c r="MLH45" s="1"/>
      <c r="MLI45" s="1"/>
      <c r="MLJ45" s="1"/>
      <c r="MLK45" s="1"/>
      <c r="MLL45" s="1"/>
      <c r="MLM45" s="1"/>
      <c r="MLN45" s="1"/>
      <c r="MLO45" s="1"/>
      <c r="MLP45" s="1"/>
      <c r="MLQ45" s="1"/>
      <c r="MLR45" s="1"/>
      <c r="MLS45" s="1"/>
      <c r="MLT45" s="1"/>
      <c r="MLU45" s="1"/>
      <c r="MLV45" s="1"/>
      <c r="MLW45" s="1"/>
      <c r="MLX45" s="1"/>
      <c r="MLY45" s="1"/>
      <c r="MLZ45" s="1"/>
      <c r="MMA45" s="1"/>
      <c r="MMB45" s="1"/>
      <c r="MMC45" s="1"/>
      <c r="MMD45" s="1"/>
      <c r="MME45" s="1"/>
      <c r="MMF45" s="1"/>
      <c r="MMG45" s="1"/>
      <c r="MMH45" s="1"/>
      <c r="MMI45" s="1"/>
      <c r="MMJ45" s="1"/>
      <c r="MMK45" s="1"/>
      <c r="MML45" s="1"/>
      <c r="MMM45" s="1"/>
      <c r="MMN45" s="1"/>
      <c r="MMO45" s="1"/>
      <c r="MMP45" s="1"/>
      <c r="MMQ45" s="1"/>
      <c r="MMR45" s="1"/>
      <c r="MMS45" s="1"/>
      <c r="MMT45" s="1"/>
      <c r="MMU45" s="1"/>
      <c r="MMV45" s="1"/>
      <c r="MMW45" s="1"/>
      <c r="MMX45" s="1"/>
      <c r="MMY45" s="1"/>
      <c r="MMZ45" s="1"/>
      <c r="MNA45" s="1"/>
      <c r="MNB45" s="1"/>
      <c r="MNC45" s="1"/>
      <c r="MND45" s="1"/>
      <c r="MNE45" s="1"/>
      <c r="MNF45" s="1"/>
      <c r="MNG45" s="1"/>
      <c r="MNH45" s="1"/>
      <c r="MNI45" s="1"/>
      <c r="MNJ45" s="1"/>
      <c r="MNK45" s="1"/>
      <c r="MNL45" s="1"/>
      <c r="MNM45" s="1"/>
      <c r="MNN45" s="1"/>
      <c r="MNO45" s="1"/>
      <c r="MNP45" s="1"/>
      <c r="MNQ45" s="1"/>
      <c r="MNR45" s="1"/>
      <c r="MNS45" s="1"/>
      <c r="MNT45" s="1"/>
      <c r="MNU45" s="1"/>
      <c r="MNV45" s="1"/>
      <c r="MNW45" s="1"/>
      <c r="MNX45" s="1"/>
      <c r="MNY45" s="1"/>
      <c r="MNZ45" s="1"/>
      <c r="MOA45" s="1"/>
      <c r="MOB45" s="1"/>
      <c r="MOC45" s="1"/>
      <c r="MOD45" s="1"/>
      <c r="MOE45" s="1"/>
      <c r="MOF45" s="1"/>
      <c r="MOG45" s="1"/>
      <c r="MOH45" s="1"/>
      <c r="MOI45" s="1"/>
      <c r="MOJ45" s="1"/>
      <c r="MOK45" s="1"/>
      <c r="MOL45" s="1"/>
      <c r="MOM45" s="1"/>
      <c r="MON45" s="1"/>
      <c r="MOO45" s="1"/>
      <c r="MOP45" s="1"/>
      <c r="MOQ45" s="1"/>
      <c r="MOR45" s="1"/>
      <c r="MOS45" s="1"/>
      <c r="MOT45" s="1"/>
      <c r="MOU45" s="1"/>
      <c r="MOV45" s="1"/>
      <c r="MOW45" s="1"/>
      <c r="MOX45" s="1"/>
      <c r="MOY45" s="1"/>
      <c r="MOZ45" s="1"/>
      <c r="MPA45" s="1"/>
      <c r="MPB45" s="1"/>
      <c r="MPC45" s="1"/>
      <c r="MPD45" s="1"/>
      <c r="MPE45" s="1"/>
      <c r="MPF45" s="1"/>
      <c r="MPG45" s="1"/>
      <c r="MPH45" s="1"/>
      <c r="MPI45" s="1"/>
      <c r="MPJ45" s="1"/>
      <c r="MPK45" s="1"/>
      <c r="MPL45" s="1"/>
      <c r="MPM45" s="1"/>
      <c r="MPN45" s="1"/>
      <c r="MPO45" s="1"/>
      <c r="MPP45" s="1"/>
      <c r="MPQ45" s="1"/>
      <c r="MPR45" s="1"/>
      <c r="MPS45" s="1"/>
      <c r="MPT45" s="1"/>
      <c r="MPU45" s="1"/>
      <c r="MPV45" s="1"/>
      <c r="MPW45" s="1"/>
      <c r="MPX45" s="1"/>
      <c r="MPY45" s="1"/>
      <c r="MPZ45" s="1"/>
      <c r="MQA45" s="1"/>
      <c r="MQB45" s="1"/>
      <c r="MQC45" s="1"/>
      <c r="MQD45" s="1"/>
      <c r="MQE45" s="1"/>
      <c r="MQF45" s="1"/>
      <c r="MQG45" s="1"/>
      <c r="MQH45" s="1"/>
      <c r="MQI45" s="1"/>
      <c r="MQJ45" s="1"/>
      <c r="MQK45" s="1"/>
      <c r="MQL45" s="1"/>
      <c r="MQM45" s="1"/>
      <c r="MQN45" s="1"/>
      <c r="MQO45" s="1"/>
      <c r="MQP45" s="1"/>
      <c r="MQQ45" s="1"/>
      <c r="MQR45" s="1"/>
      <c r="MQS45" s="1"/>
      <c r="MQT45" s="1"/>
      <c r="MQU45" s="1"/>
      <c r="MQV45" s="1"/>
      <c r="MQW45" s="1"/>
      <c r="MQX45" s="1"/>
      <c r="MQY45" s="1"/>
      <c r="MQZ45" s="1"/>
      <c r="MRA45" s="1"/>
      <c r="MRB45" s="1"/>
      <c r="MRC45" s="1"/>
      <c r="MRD45" s="1"/>
      <c r="MRE45" s="1"/>
      <c r="MRF45" s="1"/>
      <c r="MRG45" s="1"/>
      <c r="MRH45" s="1"/>
      <c r="MRI45" s="1"/>
      <c r="MRJ45" s="1"/>
      <c r="MRK45" s="1"/>
      <c r="MRL45" s="1"/>
      <c r="MRM45" s="1"/>
      <c r="MRN45" s="1"/>
      <c r="MRO45" s="1"/>
      <c r="MRP45" s="1"/>
      <c r="MRQ45" s="1"/>
      <c r="MRR45" s="1"/>
      <c r="MRS45" s="1"/>
      <c r="MRT45" s="1"/>
      <c r="MRU45" s="1"/>
      <c r="MRV45" s="1"/>
      <c r="MRW45" s="1"/>
      <c r="MRX45" s="1"/>
      <c r="MRY45" s="1"/>
      <c r="MRZ45" s="1"/>
      <c r="MSA45" s="1"/>
      <c r="MSB45" s="1"/>
      <c r="MSC45" s="1"/>
      <c r="MSD45" s="1"/>
      <c r="MSE45" s="1"/>
      <c r="MSF45" s="1"/>
      <c r="MSG45" s="1"/>
      <c r="MSH45" s="1"/>
      <c r="MSI45" s="1"/>
      <c r="MSJ45" s="1"/>
      <c r="MSK45" s="1"/>
      <c r="MSL45" s="1"/>
      <c r="MSM45" s="1"/>
      <c r="MSN45" s="1"/>
      <c r="MSO45" s="1"/>
      <c r="MSP45" s="1"/>
      <c r="MSQ45" s="1"/>
      <c r="MSR45" s="1"/>
      <c r="MSS45" s="1"/>
      <c r="MST45" s="1"/>
      <c r="MSU45" s="1"/>
      <c r="MSV45" s="1"/>
      <c r="MSW45" s="1"/>
      <c r="MSX45" s="1"/>
      <c r="MSY45" s="1"/>
      <c r="MSZ45" s="1"/>
      <c r="MTA45" s="1"/>
      <c r="MTB45" s="1"/>
      <c r="MTC45" s="1"/>
      <c r="MTD45" s="1"/>
      <c r="MTE45" s="1"/>
      <c r="MTF45" s="1"/>
      <c r="MTG45" s="1"/>
      <c r="MTH45" s="1"/>
      <c r="MTI45" s="1"/>
      <c r="MTJ45" s="1"/>
      <c r="MTK45" s="1"/>
      <c r="MTL45" s="1"/>
      <c r="MTM45" s="1"/>
      <c r="MTN45" s="1"/>
      <c r="MTO45" s="1"/>
      <c r="MTP45" s="1"/>
      <c r="MTQ45" s="1"/>
      <c r="MTR45" s="1"/>
      <c r="MTS45" s="1"/>
      <c r="MTT45" s="1"/>
      <c r="MTU45" s="1"/>
      <c r="MTV45" s="1"/>
      <c r="MTW45" s="1"/>
      <c r="MTX45" s="1"/>
      <c r="MTY45" s="1"/>
      <c r="MTZ45" s="1"/>
      <c r="MUA45" s="1"/>
      <c r="MUB45" s="1"/>
      <c r="MUC45" s="1"/>
      <c r="MUD45" s="1"/>
      <c r="MUE45" s="1"/>
      <c r="MUF45" s="1"/>
      <c r="MUG45" s="1"/>
      <c r="MUH45" s="1"/>
      <c r="MUI45" s="1"/>
      <c r="MUJ45" s="1"/>
      <c r="MUK45" s="1"/>
      <c r="MUL45" s="1"/>
      <c r="MUM45" s="1"/>
      <c r="MUN45" s="1"/>
      <c r="MUO45" s="1"/>
      <c r="MUP45" s="1"/>
      <c r="MUQ45" s="1"/>
      <c r="MUR45" s="1"/>
      <c r="MUS45" s="1"/>
      <c r="MUT45" s="1"/>
      <c r="MUU45" s="1"/>
      <c r="MUV45" s="1"/>
      <c r="MUW45" s="1"/>
      <c r="MUX45" s="1"/>
      <c r="MUY45" s="1"/>
      <c r="MUZ45" s="1"/>
      <c r="MVA45" s="1"/>
      <c r="MVB45" s="1"/>
      <c r="MVC45" s="1"/>
      <c r="MVD45" s="1"/>
      <c r="MVE45" s="1"/>
      <c r="MVF45" s="1"/>
      <c r="MVG45" s="1"/>
      <c r="MVH45" s="1"/>
      <c r="MVI45" s="1"/>
      <c r="MVJ45" s="1"/>
      <c r="MVK45" s="1"/>
      <c r="MVL45" s="1"/>
      <c r="MVM45" s="1"/>
      <c r="MVN45" s="1"/>
      <c r="MVO45" s="1"/>
      <c r="MVP45" s="1"/>
      <c r="MVQ45" s="1"/>
      <c r="MVR45" s="1"/>
      <c r="MVS45" s="1"/>
      <c r="MVT45" s="1"/>
      <c r="MVU45" s="1"/>
      <c r="MVV45" s="1"/>
      <c r="MVW45" s="1"/>
      <c r="MVX45" s="1"/>
      <c r="MVY45" s="1"/>
      <c r="MVZ45" s="1"/>
      <c r="MWA45" s="1"/>
      <c r="MWB45" s="1"/>
      <c r="MWC45" s="1"/>
      <c r="MWD45" s="1"/>
      <c r="MWE45" s="1"/>
      <c r="MWF45" s="1"/>
      <c r="MWG45" s="1"/>
      <c r="MWH45" s="1"/>
      <c r="MWI45" s="1"/>
      <c r="MWJ45" s="1"/>
      <c r="MWK45" s="1"/>
      <c r="MWL45" s="1"/>
      <c r="MWM45" s="1"/>
      <c r="MWN45" s="1"/>
      <c r="MWO45" s="1"/>
      <c r="MWP45" s="1"/>
      <c r="MWQ45" s="1"/>
      <c r="MWR45" s="1"/>
      <c r="MWS45" s="1"/>
      <c r="MWT45" s="1"/>
      <c r="MWU45" s="1"/>
      <c r="MWV45" s="1"/>
      <c r="MWW45" s="1"/>
      <c r="MWX45" s="1"/>
      <c r="MWY45" s="1"/>
      <c r="MWZ45" s="1"/>
      <c r="MXA45" s="1"/>
      <c r="MXB45" s="1"/>
      <c r="MXC45" s="1"/>
      <c r="MXD45" s="1"/>
      <c r="MXE45" s="1"/>
      <c r="MXF45" s="1"/>
      <c r="MXG45" s="1"/>
      <c r="MXH45" s="1"/>
      <c r="MXI45" s="1"/>
      <c r="MXJ45" s="1"/>
      <c r="MXK45" s="1"/>
      <c r="MXL45" s="1"/>
      <c r="MXM45" s="1"/>
      <c r="MXN45" s="1"/>
      <c r="MXO45" s="1"/>
      <c r="MXP45" s="1"/>
      <c r="MXQ45" s="1"/>
      <c r="MXR45" s="1"/>
      <c r="MXS45" s="1"/>
      <c r="MXT45" s="1"/>
      <c r="MXU45" s="1"/>
      <c r="MXV45" s="1"/>
      <c r="MXW45" s="1"/>
      <c r="MXX45" s="1"/>
      <c r="MXY45" s="1"/>
      <c r="MXZ45" s="1"/>
      <c r="MYA45" s="1"/>
      <c r="MYB45" s="1"/>
      <c r="MYC45" s="1"/>
      <c r="MYD45" s="1"/>
      <c r="MYE45" s="1"/>
      <c r="MYF45" s="1"/>
      <c r="MYG45" s="1"/>
      <c r="MYH45" s="1"/>
      <c r="MYI45" s="1"/>
      <c r="MYJ45" s="1"/>
      <c r="MYK45" s="1"/>
      <c r="MYL45" s="1"/>
      <c r="MYM45" s="1"/>
      <c r="MYN45" s="1"/>
      <c r="MYO45" s="1"/>
      <c r="MYP45" s="1"/>
      <c r="MYQ45" s="1"/>
      <c r="MYR45" s="1"/>
      <c r="MYS45" s="1"/>
      <c r="MYT45" s="1"/>
      <c r="MYU45" s="1"/>
      <c r="MYV45" s="1"/>
      <c r="MYW45" s="1"/>
      <c r="MYX45" s="1"/>
      <c r="MYY45" s="1"/>
      <c r="MYZ45" s="1"/>
      <c r="MZA45" s="1"/>
      <c r="MZB45" s="1"/>
      <c r="MZC45" s="1"/>
      <c r="MZD45" s="1"/>
      <c r="MZE45" s="1"/>
      <c r="MZF45" s="1"/>
      <c r="MZG45" s="1"/>
      <c r="MZH45" s="1"/>
      <c r="MZI45" s="1"/>
      <c r="MZJ45" s="1"/>
      <c r="MZK45" s="1"/>
      <c r="MZL45" s="1"/>
      <c r="MZM45" s="1"/>
      <c r="MZN45" s="1"/>
      <c r="MZO45" s="1"/>
      <c r="MZP45" s="1"/>
      <c r="MZQ45" s="1"/>
      <c r="MZR45" s="1"/>
      <c r="MZS45" s="1"/>
      <c r="MZT45" s="1"/>
      <c r="MZU45" s="1"/>
      <c r="MZV45" s="1"/>
      <c r="MZW45" s="1"/>
      <c r="MZX45" s="1"/>
      <c r="MZY45" s="1"/>
      <c r="MZZ45" s="1"/>
      <c r="NAA45" s="1"/>
      <c r="NAB45" s="1"/>
      <c r="NAC45" s="1"/>
      <c r="NAD45" s="1"/>
      <c r="NAE45" s="1"/>
      <c r="NAF45" s="1"/>
      <c r="NAG45" s="1"/>
      <c r="NAH45" s="1"/>
      <c r="NAI45" s="1"/>
      <c r="NAJ45" s="1"/>
      <c r="NAK45" s="1"/>
      <c r="NAL45" s="1"/>
      <c r="NAM45" s="1"/>
      <c r="NAN45" s="1"/>
      <c r="NAO45" s="1"/>
      <c r="NAP45" s="1"/>
      <c r="NAQ45" s="1"/>
      <c r="NAR45" s="1"/>
      <c r="NAS45" s="1"/>
      <c r="NAT45" s="1"/>
      <c r="NAU45" s="1"/>
      <c r="NAV45" s="1"/>
      <c r="NAW45" s="1"/>
      <c r="NAX45" s="1"/>
      <c r="NAY45" s="1"/>
      <c r="NAZ45" s="1"/>
      <c r="NBA45" s="1"/>
      <c r="NBB45" s="1"/>
      <c r="NBC45" s="1"/>
      <c r="NBD45" s="1"/>
      <c r="NBE45" s="1"/>
      <c r="NBF45" s="1"/>
      <c r="NBG45" s="1"/>
      <c r="NBH45" s="1"/>
      <c r="NBI45" s="1"/>
      <c r="NBJ45" s="1"/>
      <c r="NBK45" s="1"/>
      <c r="NBL45" s="1"/>
      <c r="NBM45" s="1"/>
      <c r="NBN45" s="1"/>
      <c r="NBO45" s="1"/>
      <c r="NBP45" s="1"/>
      <c r="NBQ45" s="1"/>
      <c r="NBR45" s="1"/>
      <c r="NBS45" s="1"/>
      <c r="NBT45" s="1"/>
      <c r="NBU45" s="1"/>
      <c r="NBV45" s="1"/>
      <c r="NBW45" s="1"/>
      <c r="NBX45" s="1"/>
      <c r="NBY45" s="1"/>
      <c r="NBZ45" s="1"/>
      <c r="NCA45" s="1"/>
      <c r="NCB45" s="1"/>
      <c r="NCC45" s="1"/>
      <c r="NCD45" s="1"/>
      <c r="NCE45" s="1"/>
      <c r="NCF45" s="1"/>
      <c r="NCG45" s="1"/>
      <c r="NCH45" s="1"/>
      <c r="NCI45" s="1"/>
      <c r="NCJ45" s="1"/>
      <c r="NCK45" s="1"/>
      <c r="NCL45" s="1"/>
      <c r="NCM45" s="1"/>
      <c r="NCN45" s="1"/>
      <c r="NCO45" s="1"/>
      <c r="NCP45" s="1"/>
      <c r="NCQ45" s="1"/>
      <c r="NCR45" s="1"/>
      <c r="NCS45" s="1"/>
      <c r="NCT45" s="1"/>
      <c r="NCU45" s="1"/>
      <c r="NCV45" s="1"/>
      <c r="NCW45" s="1"/>
      <c r="NCX45" s="1"/>
      <c r="NCY45" s="1"/>
      <c r="NCZ45" s="1"/>
      <c r="NDA45" s="1"/>
      <c r="NDB45" s="1"/>
      <c r="NDC45" s="1"/>
      <c r="NDD45" s="1"/>
      <c r="NDE45" s="1"/>
      <c r="NDF45" s="1"/>
      <c r="NDG45" s="1"/>
      <c r="NDH45" s="1"/>
      <c r="NDI45" s="1"/>
      <c r="NDJ45" s="1"/>
      <c r="NDK45" s="1"/>
      <c r="NDL45" s="1"/>
      <c r="NDM45" s="1"/>
      <c r="NDN45" s="1"/>
      <c r="NDO45" s="1"/>
      <c r="NDP45" s="1"/>
      <c r="NDQ45" s="1"/>
      <c r="NDR45" s="1"/>
      <c r="NDS45" s="1"/>
      <c r="NDT45" s="1"/>
      <c r="NDU45" s="1"/>
      <c r="NDV45" s="1"/>
      <c r="NDW45" s="1"/>
      <c r="NDX45" s="1"/>
      <c r="NDY45" s="1"/>
      <c r="NDZ45" s="1"/>
      <c r="NEA45" s="1"/>
      <c r="NEB45" s="1"/>
      <c r="NEC45" s="1"/>
      <c r="NED45" s="1"/>
      <c r="NEE45" s="1"/>
      <c r="NEF45" s="1"/>
      <c r="NEG45" s="1"/>
      <c r="NEH45" s="1"/>
      <c r="NEI45" s="1"/>
      <c r="NEJ45" s="1"/>
      <c r="NEK45" s="1"/>
      <c r="NEL45" s="1"/>
      <c r="NEM45" s="1"/>
      <c r="NEN45" s="1"/>
      <c r="NEO45" s="1"/>
      <c r="NEP45" s="1"/>
      <c r="NEQ45" s="1"/>
      <c r="NER45" s="1"/>
      <c r="NES45" s="1"/>
      <c r="NET45" s="1"/>
      <c r="NEU45" s="1"/>
      <c r="NEV45" s="1"/>
      <c r="NEW45" s="1"/>
      <c r="NEX45" s="1"/>
      <c r="NEY45" s="1"/>
      <c r="NEZ45" s="1"/>
      <c r="NFA45" s="1"/>
      <c r="NFB45" s="1"/>
      <c r="NFC45" s="1"/>
      <c r="NFD45" s="1"/>
      <c r="NFE45" s="1"/>
      <c r="NFF45" s="1"/>
      <c r="NFG45" s="1"/>
      <c r="NFH45" s="1"/>
      <c r="NFI45" s="1"/>
      <c r="NFJ45" s="1"/>
      <c r="NFK45" s="1"/>
      <c r="NFL45" s="1"/>
      <c r="NFM45" s="1"/>
      <c r="NFN45" s="1"/>
      <c r="NFO45" s="1"/>
      <c r="NFP45" s="1"/>
      <c r="NFQ45" s="1"/>
      <c r="NFR45" s="1"/>
      <c r="NFS45" s="1"/>
      <c r="NFT45" s="1"/>
      <c r="NFU45" s="1"/>
      <c r="NFV45" s="1"/>
      <c r="NFW45" s="1"/>
      <c r="NFX45" s="1"/>
      <c r="NFY45" s="1"/>
      <c r="NFZ45" s="1"/>
      <c r="NGA45" s="1"/>
      <c r="NGB45" s="1"/>
      <c r="NGC45" s="1"/>
      <c r="NGD45" s="1"/>
      <c r="NGE45" s="1"/>
      <c r="NGF45" s="1"/>
      <c r="NGG45" s="1"/>
      <c r="NGH45" s="1"/>
      <c r="NGI45" s="1"/>
      <c r="NGJ45" s="1"/>
      <c r="NGK45" s="1"/>
      <c r="NGL45" s="1"/>
      <c r="NGM45" s="1"/>
      <c r="NGN45" s="1"/>
      <c r="NGO45" s="1"/>
      <c r="NGP45" s="1"/>
      <c r="NGQ45" s="1"/>
      <c r="NGR45" s="1"/>
      <c r="NGS45" s="1"/>
      <c r="NGT45" s="1"/>
      <c r="NGU45" s="1"/>
      <c r="NGV45" s="1"/>
      <c r="NGW45" s="1"/>
      <c r="NGX45" s="1"/>
      <c r="NGY45" s="1"/>
      <c r="NGZ45" s="1"/>
      <c r="NHA45" s="1"/>
      <c r="NHB45" s="1"/>
      <c r="NHC45" s="1"/>
      <c r="NHD45" s="1"/>
      <c r="NHE45" s="1"/>
      <c r="NHF45" s="1"/>
      <c r="NHG45" s="1"/>
      <c r="NHH45" s="1"/>
      <c r="NHI45" s="1"/>
      <c r="NHJ45" s="1"/>
      <c r="NHK45" s="1"/>
      <c r="NHL45" s="1"/>
      <c r="NHM45" s="1"/>
      <c r="NHN45" s="1"/>
      <c r="NHO45" s="1"/>
      <c r="NHP45" s="1"/>
      <c r="NHQ45" s="1"/>
      <c r="NHR45" s="1"/>
      <c r="NHS45" s="1"/>
      <c r="NHT45" s="1"/>
      <c r="NHU45" s="1"/>
      <c r="NHV45" s="1"/>
      <c r="NHW45" s="1"/>
      <c r="NHX45" s="1"/>
      <c r="NHY45" s="1"/>
      <c r="NHZ45" s="1"/>
      <c r="NIA45" s="1"/>
      <c r="NIB45" s="1"/>
      <c r="NIC45" s="1"/>
      <c r="NID45" s="1"/>
      <c r="NIE45" s="1"/>
      <c r="NIF45" s="1"/>
      <c r="NIG45" s="1"/>
      <c r="NIH45" s="1"/>
      <c r="NII45" s="1"/>
      <c r="NIJ45" s="1"/>
      <c r="NIK45" s="1"/>
      <c r="NIL45" s="1"/>
      <c r="NIM45" s="1"/>
      <c r="NIN45" s="1"/>
      <c r="NIO45" s="1"/>
      <c r="NIP45" s="1"/>
      <c r="NIQ45" s="1"/>
      <c r="NIR45" s="1"/>
      <c r="NIS45" s="1"/>
      <c r="NIT45" s="1"/>
      <c r="NIU45" s="1"/>
      <c r="NIV45" s="1"/>
      <c r="NIW45" s="1"/>
      <c r="NIX45" s="1"/>
      <c r="NIY45" s="1"/>
      <c r="NIZ45" s="1"/>
      <c r="NJA45" s="1"/>
      <c r="NJB45" s="1"/>
      <c r="NJC45" s="1"/>
      <c r="NJD45" s="1"/>
      <c r="NJE45" s="1"/>
      <c r="NJF45" s="1"/>
      <c r="NJG45" s="1"/>
      <c r="NJH45" s="1"/>
      <c r="NJI45" s="1"/>
      <c r="NJJ45" s="1"/>
      <c r="NJK45" s="1"/>
      <c r="NJL45" s="1"/>
      <c r="NJM45" s="1"/>
      <c r="NJN45" s="1"/>
      <c r="NJO45" s="1"/>
      <c r="NJP45" s="1"/>
      <c r="NJQ45" s="1"/>
      <c r="NJR45" s="1"/>
      <c r="NJS45" s="1"/>
      <c r="NJT45" s="1"/>
      <c r="NJU45" s="1"/>
      <c r="NJV45" s="1"/>
      <c r="NJW45" s="1"/>
      <c r="NJX45" s="1"/>
      <c r="NJY45" s="1"/>
      <c r="NJZ45" s="1"/>
      <c r="NKA45" s="1"/>
      <c r="NKB45" s="1"/>
      <c r="NKC45" s="1"/>
      <c r="NKD45" s="1"/>
      <c r="NKE45" s="1"/>
      <c r="NKF45" s="1"/>
      <c r="NKG45" s="1"/>
      <c r="NKH45" s="1"/>
      <c r="NKI45" s="1"/>
      <c r="NKJ45" s="1"/>
      <c r="NKK45" s="1"/>
      <c r="NKL45" s="1"/>
      <c r="NKM45" s="1"/>
      <c r="NKN45" s="1"/>
      <c r="NKO45" s="1"/>
      <c r="NKP45" s="1"/>
      <c r="NKQ45" s="1"/>
      <c r="NKR45" s="1"/>
      <c r="NKS45" s="1"/>
      <c r="NKT45" s="1"/>
      <c r="NKU45" s="1"/>
      <c r="NKV45" s="1"/>
      <c r="NKW45" s="1"/>
      <c r="NKX45" s="1"/>
      <c r="NKY45" s="1"/>
      <c r="NKZ45" s="1"/>
      <c r="NLA45" s="1"/>
      <c r="NLB45" s="1"/>
      <c r="NLC45" s="1"/>
      <c r="NLD45" s="1"/>
      <c r="NLE45" s="1"/>
      <c r="NLF45" s="1"/>
      <c r="NLG45" s="1"/>
      <c r="NLH45" s="1"/>
      <c r="NLI45" s="1"/>
      <c r="NLJ45" s="1"/>
      <c r="NLK45" s="1"/>
      <c r="NLL45" s="1"/>
      <c r="NLM45" s="1"/>
      <c r="NLN45" s="1"/>
      <c r="NLO45" s="1"/>
      <c r="NLP45" s="1"/>
      <c r="NLQ45" s="1"/>
      <c r="NLR45" s="1"/>
      <c r="NLS45" s="1"/>
      <c r="NLT45" s="1"/>
      <c r="NLU45" s="1"/>
      <c r="NLV45" s="1"/>
      <c r="NLW45" s="1"/>
      <c r="NLX45" s="1"/>
      <c r="NLY45" s="1"/>
      <c r="NLZ45" s="1"/>
      <c r="NMA45" s="1"/>
      <c r="NMB45" s="1"/>
      <c r="NMC45" s="1"/>
      <c r="NMD45" s="1"/>
      <c r="NME45" s="1"/>
      <c r="NMF45" s="1"/>
      <c r="NMG45" s="1"/>
      <c r="NMH45" s="1"/>
      <c r="NMI45" s="1"/>
      <c r="NMJ45" s="1"/>
      <c r="NMK45" s="1"/>
      <c r="NML45" s="1"/>
      <c r="NMM45" s="1"/>
      <c r="NMN45" s="1"/>
      <c r="NMO45" s="1"/>
      <c r="NMP45" s="1"/>
      <c r="NMQ45" s="1"/>
      <c r="NMR45" s="1"/>
      <c r="NMS45" s="1"/>
      <c r="NMT45" s="1"/>
      <c r="NMU45" s="1"/>
      <c r="NMV45" s="1"/>
      <c r="NMW45" s="1"/>
      <c r="NMX45" s="1"/>
      <c r="NMY45" s="1"/>
      <c r="NMZ45" s="1"/>
      <c r="NNA45" s="1"/>
      <c r="NNB45" s="1"/>
      <c r="NNC45" s="1"/>
      <c r="NND45" s="1"/>
      <c r="NNE45" s="1"/>
      <c r="NNF45" s="1"/>
      <c r="NNG45" s="1"/>
      <c r="NNH45" s="1"/>
      <c r="NNI45" s="1"/>
      <c r="NNJ45" s="1"/>
      <c r="NNK45" s="1"/>
      <c r="NNL45" s="1"/>
      <c r="NNM45" s="1"/>
      <c r="NNN45" s="1"/>
      <c r="NNO45" s="1"/>
      <c r="NNP45" s="1"/>
      <c r="NNQ45" s="1"/>
      <c r="NNR45" s="1"/>
      <c r="NNS45" s="1"/>
      <c r="NNT45" s="1"/>
      <c r="NNU45" s="1"/>
      <c r="NNV45" s="1"/>
      <c r="NNW45" s="1"/>
      <c r="NNX45" s="1"/>
      <c r="NNY45" s="1"/>
      <c r="NNZ45" s="1"/>
      <c r="NOA45" s="1"/>
      <c r="NOB45" s="1"/>
      <c r="NOC45" s="1"/>
      <c r="NOD45" s="1"/>
      <c r="NOE45" s="1"/>
      <c r="NOF45" s="1"/>
      <c r="NOG45" s="1"/>
      <c r="NOH45" s="1"/>
      <c r="NOI45" s="1"/>
      <c r="NOJ45" s="1"/>
      <c r="NOK45" s="1"/>
      <c r="NOL45" s="1"/>
      <c r="NOM45" s="1"/>
      <c r="NON45" s="1"/>
      <c r="NOO45" s="1"/>
      <c r="NOP45" s="1"/>
      <c r="NOQ45" s="1"/>
      <c r="NOR45" s="1"/>
      <c r="NOS45" s="1"/>
      <c r="NOT45" s="1"/>
      <c r="NOU45" s="1"/>
      <c r="NOV45" s="1"/>
      <c r="NOW45" s="1"/>
      <c r="NOX45" s="1"/>
      <c r="NOY45" s="1"/>
      <c r="NOZ45" s="1"/>
      <c r="NPA45" s="1"/>
      <c r="NPB45" s="1"/>
      <c r="NPC45" s="1"/>
      <c r="NPD45" s="1"/>
      <c r="NPE45" s="1"/>
      <c r="NPF45" s="1"/>
      <c r="NPG45" s="1"/>
      <c r="NPH45" s="1"/>
      <c r="NPI45" s="1"/>
      <c r="NPJ45" s="1"/>
      <c r="NPK45" s="1"/>
      <c r="NPL45" s="1"/>
      <c r="NPM45" s="1"/>
      <c r="NPN45" s="1"/>
      <c r="NPO45" s="1"/>
      <c r="NPP45" s="1"/>
      <c r="NPQ45" s="1"/>
      <c r="NPR45" s="1"/>
      <c r="NPS45" s="1"/>
      <c r="NPT45" s="1"/>
      <c r="NPU45" s="1"/>
      <c r="NPV45" s="1"/>
      <c r="NPW45" s="1"/>
      <c r="NPX45" s="1"/>
      <c r="NPY45" s="1"/>
      <c r="NPZ45" s="1"/>
      <c r="NQA45" s="1"/>
      <c r="NQB45" s="1"/>
      <c r="NQC45" s="1"/>
      <c r="NQD45" s="1"/>
      <c r="NQE45" s="1"/>
      <c r="NQF45" s="1"/>
      <c r="NQG45" s="1"/>
      <c r="NQH45" s="1"/>
      <c r="NQI45" s="1"/>
      <c r="NQJ45" s="1"/>
      <c r="NQK45" s="1"/>
      <c r="NQL45" s="1"/>
      <c r="NQM45" s="1"/>
      <c r="NQN45" s="1"/>
      <c r="NQO45" s="1"/>
      <c r="NQP45" s="1"/>
      <c r="NQQ45" s="1"/>
      <c r="NQR45" s="1"/>
      <c r="NQS45" s="1"/>
      <c r="NQT45" s="1"/>
      <c r="NQU45" s="1"/>
      <c r="NQV45" s="1"/>
      <c r="NQW45" s="1"/>
      <c r="NQX45" s="1"/>
      <c r="NQY45" s="1"/>
      <c r="NQZ45" s="1"/>
      <c r="NRA45" s="1"/>
      <c r="NRB45" s="1"/>
      <c r="NRC45" s="1"/>
      <c r="NRD45" s="1"/>
      <c r="NRE45" s="1"/>
      <c r="NRF45" s="1"/>
      <c r="NRG45" s="1"/>
      <c r="NRH45" s="1"/>
      <c r="NRI45" s="1"/>
      <c r="NRJ45" s="1"/>
      <c r="NRK45" s="1"/>
      <c r="NRL45" s="1"/>
      <c r="NRM45" s="1"/>
      <c r="NRN45" s="1"/>
      <c r="NRO45" s="1"/>
      <c r="NRP45" s="1"/>
      <c r="NRQ45" s="1"/>
      <c r="NRR45" s="1"/>
      <c r="NRS45" s="1"/>
      <c r="NRT45" s="1"/>
      <c r="NRU45" s="1"/>
      <c r="NRV45" s="1"/>
      <c r="NRW45" s="1"/>
      <c r="NRX45" s="1"/>
      <c r="NRY45" s="1"/>
      <c r="NRZ45" s="1"/>
      <c r="NSA45" s="1"/>
      <c r="NSB45" s="1"/>
      <c r="NSC45" s="1"/>
      <c r="NSD45" s="1"/>
      <c r="NSE45" s="1"/>
      <c r="NSF45" s="1"/>
      <c r="NSG45" s="1"/>
      <c r="NSH45" s="1"/>
      <c r="NSI45" s="1"/>
      <c r="NSJ45" s="1"/>
      <c r="NSK45" s="1"/>
      <c r="NSL45" s="1"/>
      <c r="NSM45" s="1"/>
      <c r="NSN45" s="1"/>
      <c r="NSO45" s="1"/>
      <c r="NSP45" s="1"/>
      <c r="NSQ45" s="1"/>
      <c r="NSR45" s="1"/>
      <c r="NSS45" s="1"/>
      <c r="NST45" s="1"/>
      <c r="NSU45" s="1"/>
      <c r="NSV45" s="1"/>
      <c r="NSW45" s="1"/>
      <c r="NSX45" s="1"/>
      <c r="NSY45" s="1"/>
      <c r="NSZ45" s="1"/>
      <c r="NTA45" s="1"/>
      <c r="NTB45" s="1"/>
      <c r="NTC45" s="1"/>
      <c r="NTD45" s="1"/>
      <c r="NTE45" s="1"/>
      <c r="NTF45" s="1"/>
      <c r="NTG45" s="1"/>
      <c r="NTH45" s="1"/>
      <c r="NTI45" s="1"/>
      <c r="NTJ45" s="1"/>
      <c r="NTK45" s="1"/>
      <c r="NTL45" s="1"/>
      <c r="NTM45" s="1"/>
      <c r="NTN45" s="1"/>
      <c r="NTO45" s="1"/>
      <c r="NTP45" s="1"/>
      <c r="NTQ45" s="1"/>
      <c r="NTR45" s="1"/>
      <c r="NTS45" s="1"/>
      <c r="NTT45" s="1"/>
      <c r="NTU45" s="1"/>
      <c r="NTV45" s="1"/>
      <c r="NTW45" s="1"/>
      <c r="NTX45" s="1"/>
      <c r="NTY45" s="1"/>
      <c r="NTZ45" s="1"/>
      <c r="NUA45" s="1"/>
      <c r="NUB45" s="1"/>
      <c r="NUC45" s="1"/>
      <c r="NUD45" s="1"/>
      <c r="NUE45" s="1"/>
      <c r="NUF45" s="1"/>
      <c r="NUG45" s="1"/>
      <c r="NUH45" s="1"/>
      <c r="NUI45" s="1"/>
      <c r="NUJ45" s="1"/>
      <c r="NUK45" s="1"/>
      <c r="NUL45" s="1"/>
      <c r="NUM45" s="1"/>
      <c r="NUN45" s="1"/>
      <c r="NUO45" s="1"/>
      <c r="NUP45" s="1"/>
      <c r="NUQ45" s="1"/>
      <c r="NUR45" s="1"/>
      <c r="NUS45" s="1"/>
      <c r="NUT45" s="1"/>
      <c r="NUU45" s="1"/>
      <c r="NUV45" s="1"/>
      <c r="NUW45" s="1"/>
      <c r="NUX45" s="1"/>
      <c r="NUY45" s="1"/>
      <c r="NUZ45" s="1"/>
      <c r="NVA45" s="1"/>
      <c r="NVB45" s="1"/>
      <c r="NVC45" s="1"/>
      <c r="NVD45" s="1"/>
      <c r="NVE45" s="1"/>
      <c r="NVF45" s="1"/>
      <c r="NVG45" s="1"/>
      <c r="NVH45" s="1"/>
      <c r="NVI45" s="1"/>
      <c r="NVJ45" s="1"/>
      <c r="NVK45" s="1"/>
      <c r="NVL45" s="1"/>
      <c r="NVM45" s="1"/>
      <c r="NVN45" s="1"/>
      <c r="NVO45" s="1"/>
      <c r="NVP45" s="1"/>
      <c r="NVQ45" s="1"/>
      <c r="NVR45" s="1"/>
      <c r="NVS45" s="1"/>
      <c r="NVT45" s="1"/>
      <c r="NVU45" s="1"/>
      <c r="NVV45" s="1"/>
      <c r="NVW45" s="1"/>
      <c r="NVX45" s="1"/>
      <c r="NVY45" s="1"/>
      <c r="NVZ45" s="1"/>
      <c r="NWA45" s="1"/>
      <c r="NWB45" s="1"/>
      <c r="NWC45" s="1"/>
      <c r="NWD45" s="1"/>
      <c r="NWE45" s="1"/>
      <c r="NWF45" s="1"/>
      <c r="NWG45" s="1"/>
      <c r="NWH45" s="1"/>
      <c r="NWI45" s="1"/>
      <c r="NWJ45" s="1"/>
      <c r="NWK45" s="1"/>
      <c r="NWL45" s="1"/>
      <c r="NWM45" s="1"/>
      <c r="NWN45" s="1"/>
      <c r="NWO45" s="1"/>
      <c r="NWP45" s="1"/>
      <c r="NWQ45" s="1"/>
      <c r="NWR45" s="1"/>
      <c r="NWS45" s="1"/>
      <c r="NWT45" s="1"/>
      <c r="NWU45" s="1"/>
      <c r="NWV45" s="1"/>
      <c r="NWW45" s="1"/>
      <c r="NWX45" s="1"/>
      <c r="NWY45" s="1"/>
      <c r="NWZ45" s="1"/>
      <c r="NXA45" s="1"/>
      <c r="NXB45" s="1"/>
      <c r="NXC45" s="1"/>
      <c r="NXD45" s="1"/>
      <c r="NXE45" s="1"/>
      <c r="NXF45" s="1"/>
      <c r="NXG45" s="1"/>
      <c r="NXH45" s="1"/>
      <c r="NXI45" s="1"/>
      <c r="NXJ45" s="1"/>
      <c r="NXK45" s="1"/>
      <c r="NXL45" s="1"/>
      <c r="NXM45" s="1"/>
      <c r="NXN45" s="1"/>
      <c r="NXO45" s="1"/>
      <c r="NXP45" s="1"/>
      <c r="NXQ45" s="1"/>
      <c r="NXR45" s="1"/>
      <c r="NXS45" s="1"/>
      <c r="NXT45" s="1"/>
      <c r="NXU45" s="1"/>
      <c r="NXV45" s="1"/>
      <c r="NXW45" s="1"/>
      <c r="NXX45" s="1"/>
      <c r="NXY45" s="1"/>
      <c r="NXZ45" s="1"/>
      <c r="NYA45" s="1"/>
      <c r="NYB45" s="1"/>
      <c r="NYC45" s="1"/>
      <c r="NYD45" s="1"/>
      <c r="NYE45" s="1"/>
      <c r="NYF45" s="1"/>
      <c r="NYG45" s="1"/>
      <c r="NYH45" s="1"/>
      <c r="NYI45" s="1"/>
      <c r="NYJ45" s="1"/>
      <c r="NYK45" s="1"/>
      <c r="NYL45" s="1"/>
      <c r="NYM45" s="1"/>
      <c r="NYN45" s="1"/>
      <c r="NYO45" s="1"/>
      <c r="NYP45" s="1"/>
      <c r="NYQ45" s="1"/>
      <c r="NYR45" s="1"/>
      <c r="NYS45" s="1"/>
      <c r="NYT45" s="1"/>
      <c r="NYU45" s="1"/>
      <c r="NYV45" s="1"/>
      <c r="NYW45" s="1"/>
      <c r="NYX45" s="1"/>
      <c r="NYY45" s="1"/>
      <c r="NYZ45" s="1"/>
      <c r="NZA45" s="1"/>
      <c r="NZB45" s="1"/>
      <c r="NZC45" s="1"/>
      <c r="NZD45" s="1"/>
      <c r="NZE45" s="1"/>
      <c r="NZF45" s="1"/>
      <c r="NZG45" s="1"/>
      <c r="NZH45" s="1"/>
      <c r="NZI45" s="1"/>
      <c r="NZJ45" s="1"/>
      <c r="NZK45" s="1"/>
      <c r="NZL45" s="1"/>
      <c r="NZM45" s="1"/>
      <c r="NZN45" s="1"/>
      <c r="NZO45" s="1"/>
      <c r="NZP45" s="1"/>
      <c r="NZQ45" s="1"/>
      <c r="NZR45" s="1"/>
      <c r="NZS45" s="1"/>
      <c r="NZT45" s="1"/>
      <c r="NZU45" s="1"/>
      <c r="NZV45" s="1"/>
      <c r="NZW45" s="1"/>
      <c r="NZX45" s="1"/>
      <c r="NZY45" s="1"/>
      <c r="NZZ45" s="1"/>
      <c r="OAA45" s="1"/>
      <c r="OAB45" s="1"/>
      <c r="OAC45" s="1"/>
      <c r="OAD45" s="1"/>
      <c r="OAE45" s="1"/>
      <c r="OAF45" s="1"/>
      <c r="OAG45" s="1"/>
      <c r="OAH45" s="1"/>
      <c r="OAI45" s="1"/>
      <c r="OAJ45" s="1"/>
      <c r="OAK45" s="1"/>
      <c r="OAL45" s="1"/>
      <c r="OAM45" s="1"/>
      <c r="OAN45" s="1"/>
      <c r="OAO45" s="1"/>
      <c r="OAP45" s="1"/>
      <c r="OAQ45" s="1"/>
      <c r="OAR45" s="1"/>
      <c r="OAS45" s="1"/>
      <c r="OAT45" s="1"/>
      <c r="OAU45" s="1"/>
      <c r="OAV45" s="1"/>
      <c r="OAW45" s="1"/>
      <c r="OAX45" s="1"/>
      <c r="OAY45" s="1"/>
      <c r="OAZ45" s="1"/>
      <c r="OBA45" s="1"/>
      <c r="OBB45" s="1"/>
      <c r="OBC45" s="1"/>
      <c r="OBD45" s="1"/>
      <c r="OBE45" s="1"/>
      <c r="OBF45" s="1"/>
      <c r="OBG45" s="1"/>
      <c r="OBH45" s="1"/>
      <c r="OBI45" s="1"/>
      <c r="OBJ45" s="1"/>
      <c r="OBK45" s="1"/>
      <c r="OBL45" s="1"/>
      <c r="OBM45" s="1"/>
      <c r="OBN45" s="1"/>
      <c r="OBO45" s="1"/>
      <c r="OBP45" s="1"/>
      <c r="OBQ45" s="1"/>
      <c r="OBR45" s="1"/>
      <c r="OBS45" s="1"/>
      <c r="OBT45" s="1"/>
      <c r="OBU45" s="1"/>
      <c r="OBV45" s="1"/>
      <c r="OBW45" s="1"/>
      <c r="OBX45" s="1"/>
      <c r="OBY45" s="1"/>
      <c r="OBZ45" s="1"/>
      <c r="OCA45" s="1"/>
      <c r="OCB45" s="1"/>
      <c r="OCC45" s="1"/>
      <c r="OCD45" s="1"/>
      <c r="OCE45" s="1"/>
      <c r="OCF45" s="1"/>
      <c r="OCG45" s="1"/>
      <c r="OCH45" s="1"/>
      <c r="OCI45" s="1"/>
      <c r="OCJ45" s="1"/>
      <c r="OCK45" s="1"/>
      <c r="OCL45" s="1"/>
      <c r="OCM45" s="1"/>
      <c r="OCN45" s="1"/>
      <c r="OCO45" s="1"/>
      <c r="OCP45" s="1"/>
      <c r="OCQ45" s="1"/>
      <c r="OCR45" s="1"/>
      <c r="OCS45" s="1"/>
      <c r="OCT45" s="1"/>
      <c r="OCU45" s="1"/>
      <c r="OCV45" s="1"/>
      <c r="OCW45" s="1"/>
      <c r="OCX45" s="1"/>
      <c r="OCY45" s="1"/>
      <c r="OCZ45" s="1"/>
      <c r="ODA45" s="1"/>
      <c r="ODB45" s="1"/>
      <c r="ODC45" s="1"/>
      <c r="ODD45" s="1"/>
      <c r="ODE45" s="1"/>
      <c r="ODF45" s="1"/>
      <c r="ODG45" s="1"/>
      <c r="ODH45" s="1"/>
      <c r="ODI45" s="1"/>
      <c r="ODJ45" s="1"/>
      <c r="ODK45" s="1"/>
      <c r="ODL45" s="1"/>
      <c r="ODM45" s="1"/>
      <c r="ODN45" s="1"/>
      <c r="ODO45" s="1"/>
      <c r="ODP45" s="1"/>
      <c r="ODQ45" s="1"/>
      <c r="ODR45" s="1"/>
      <c r="ODS45" s="1"/>
      <c r="ODT45" s="1"/>
      <c r="ODU45" s="1"/>
      <c r="ODV45" s="1"/>
      <c r="ODW45" s="1"/>
      <c r="ODX45" s="1"/>
      <c r="ODY45" s="1"/>
      <c r="ODZ45" s="1"/>
      <c r="OEA45" s="1"/>
      <c r="OEB45" s="1"/>
      <c r="OEC45" s="1"/>
      <c r="OED45" s="1"/>
      <c r="OEE45" s="1"/>
      <c r="OEF45" s="1"/>
      <c r="OEG45" s="1"/>
      <c r="OEH45" s="1"/>
      <c r="OEI45" s="1"/>
      <c r="OEJ45" s="1"/>
      <c r="OEK45" s="1"/>
      <c r="OEL45" s="1"/>
      <c r="OEM45" s="1"/>
      <c r="OEN45" s="1"/>
      <c r="OEO45" s="1"/>
      <c r="OEP45" s="1"/>
      <c r="OEQ45" s="1"/>
      <c r="OER45" s="1"/>
      <c r="OES45" s="1"/>
      <c r="OET45" s="1"/>
      <c r="OEU45" s="1"/>
      <c r="OEV45" s="1"/>
      <c r="OEW45" s="1"/>
      <c r="OEX45" s="1"/>
      <c r="OEY45" s="1"/>
      <c r="OEZ45" s="1"/>
      <c r="OFA45" s="1"/>
      <c r="OFB45" s="1"/>
      <c r="OFC45" s="1"/>
      <c r="OFD45" s="1"/>
      <c r="OFE45" s="1"/>
      <c r="OFF45" s="1"/>
      <c r="OFG45" s="1"/>
      <c r="OFH45" s="1"/>
      <c r="OFI45" s="1"/>
      <c r="OFJ45" s="1"/>
      <c r="OFK45" s="1"/>
      <c r="OFL45" s="1"/>
      <c r="OFM45" s="1"/>
      <c r="OFN45" s="1"/>
      <c r="OFO45" s="1"/>
      <c r="OFP45" s="1"/>
      <c r="OFQ45" s="1"/>
      <c r="OFR45" s="1"/>
      <c r="OFS45" s="1"/>
      <c r="OFT45" s="1"/>
      <c r="OFU45" s="1"/>
      <c r="OFV45" s="1"/>
      <c r="OFW45" s="1"/>
      <c r="OFX45" s="1"/>
      <c r="OFY45" s="1"/>
      <c r="OFZ45" s="1"/>
      <c r="OGA45" s="1"/>
      <c r="OGB45" s="1"/>
      <c r="OGC45" s="1"/>
      <c r="OGD45" s="1"/>
      <c r="OGE45" s="1"/>
      <c r="OGF45" s="1"/>
      <c r="OGG45" s="1"/>
      <c r="OGH45" s="1"/>
      <c r="OGI45" s="1"/>
      <c r="OGJ45" s="1"/>
      <c r="OGK45" s="1"/>
      <c r="OGL45" s="1"/>
      <c r="OGM45" s="1"/>
      <c r="OGN45" s="1"/>
      <c r="OGO45" s="1"/>
      <c r="OGP45" s="1"/>
      <c r="OGQ45" s="1"/>
      <c r="OGR45" s="1"/>
      <c r="OGS45" s="1"/>
      <c r="OGT45" s="1"/>
      <c r="OGU45" s="1"/>
      <c r="OGV45" s="1"/>
      <c r="OGW45" s="1"/>
      <c r="OGX45" s="1"/>
      <c r="OGY45" s="1"/>
      <c r="OGZ45" s="1"/>
      <c r="OHA45" s="1"/>
      <c r="OHB45" s="1"/>
      <c r="OHC45" s="1"/>
      <c r="OHD45" s="1"/>
      <c r="OHE45" s="1"/>
      <c r="OHF45" s="1"/>
      <c r="OHG45" s="1"/>
      <c r="OHH45" s="1"/>
      <c r="OHI45" s="1"/>
      <c r="OHJ45" s="1"/>
      <c r="OHK45" s="1"/>
      <c r="OHL45" s="1"/>
      <c r="OHM45" s="1"/>
      <c r="OHN45" s="1"/>
      <c r="OHO45" s="1"/>
      <c r="OHP45" s="1"/>
      <c r="OHQ45" s="1"/>
      <c r="OHR45" s="1"/>
      <c r="OHS45" s="1"/>
      <c r="OHT45" s="1"/>
      <c r="OHU45" s="1"/>
      <c r="OHV45" s="1"/>
      <c r="OHW45" s="1"/>
      <c r="OHX45" s="1"/>
      <c r="OHY45" s="1"/>
      <c r="OHZ45" s="1"/>
      <c r="OIA45" s="1"/>
      <c r="OIB45" s="1"/>
      <c r="OIC45" s="1"/>
      <c r="OID45" s="1"/>
      <c r="OIE45" s="1"/>
      <c r="OIF45" s="1"/>
      <c r="OIG45" s="1"/>
      <c r="OIH45" s="1"/>
      <c r="OII45" s="1"/>
      <c r="OIJ45" s="1"/>
      <c r="OIK45" s="1"/>
      <c r="OIL45" s="1"/>
      <c r="OIM45" s="1"/>
      <c r="OIN45" s="1"/>
      <c r="OIO45" s="1"/>
      <c r="OIP45" s="1"/>
      <c r="OIQ45" s="1"/>
      <c r="OIR45" s="1"/>
      <c r="OIS45" s="1"/>
      <c r="OIT45" s="1"/>
      <c r="OIU45" s="1"/>
      <c r="OIV45" s="1"/>
      <c r="OIW45" s="1"/>
      <c r="OIX45" s="1"/>
      <c r="OIY45" s="1"/>
      <c r="OIZ45" s="1"/>
      <c r="OJA45" s="1"/>
      <c r="OJB45" s="1"/>
      <c r="OJC45" s="1"/>
      <c r="OJD45" s="1"/>
      <c r="OJE45" s="1"/>
      <c r="OJF45" s="1"/>
      <c r="OJG45" s="1"/>
      <c r="OJH45" s="1"/>
      <c r="OJI45" s="1"/>
      <c r="OJJ45" s="1"/>
      <c r="OJK45" s="1"/>
      <c r="OJL45" s="1"/>
      <c r="OJM45" s="1"/>
      <c r="OJN45" s="1"/>
      <c r="OJO45" s="1"/>
      <c r="OJP45" s="1"/>
      <c r="OJQ45" s="1"/>
      <c r="OJR45" s="1"/>
      <c r="OJS45" s="1"/>
      <c r="OJT45" s="1"/>
      <c r="OJU45" s="1"/>
      <c r="OJV45" s="1"/>
      <c r="OJW45" s="1"/>
      <c r="OJX45" s="1"/>
      <c r="OJY45" s="1"/>
      <c r="OJZ45" s="1"/>
      <c r="OKA45" s="1"/>
      <c r="OKB45" s="1"/>
      <c r="OKC45" s="1"/>
      <c r="OKD45" s="1"/>
      <c r="OKE45" s="1"/>
      <c r="OKF45" s="1"/>
      <c r="OKG45" s="1"/>
      <c r="OKH45" s="1"/>
      <c r="OKI45" s="1"/>
      <c r="OKJ45" s="1"/>
      <c r="OKK45" s="1"/>
      <c r="OKL45" s="1"/>
      <c r="OKM45" s="1"/>
      <c r="OKN45" s="1"/>
      <c r="OKO45" s="1"/>
      <c r="OKP45" s="1"/>
      <c r="OKQ45" s="1"/>
      <c r="OKR45" s="1"/>
      <c r="OKS45" s="1"/>
      <c r="OKT45" s="1"/>
      <c r="OKU45" s="1"/>
      <c r="OKV45" s="1"/>
      <c r="OKW45" s="1"/>
      <c r="OKX45" s="1"/>
      <c r="OKY45" s="1"/>
      <c r="OKZ45" s="1"/>
      <c r="OLA45" s="1"/>
      <c r="OLB45" s="1"/>
      <c r="OLC45" s="1"/>
      <c r="OLD45" s="1"/>
      <c r="OLE45" s="1"/>
      <c r="OLF45" s="1"/>
      <c r="OLG45" s="1"/>
      <c r="OLH45" s="1"/>
      <c r="OLI45" s="1"/>
      <c r="OLJ45" s="1"/>
      <c r="OLK45" s="1"/>
      <c r="OLL45" s="1"/>
      <c r="OLM45" s="1"/>
      <c r="OLN45" s="1"/>
      <c r="OLO45" s="1"/>
      <c r="OLP45" s="1"/>
      <c r="OLQ45" s="1"/>
      <c r="OLR45" s="1"/>
      <c r="OLS45" s="1"/>
      <c r="OLT45" s="1"/>
      <c r="OLU45" s="1"/>
      <c r="OLV45" s="1"/>
      <c r="OLW45" s="1"/>
      <c r="OLX45" s="1"/>
      <c r="OLY45" s="1"/>
      <c r="OLZ45" s="1"/>
      <c r="OMA45" s="1"/>
      <c r="OMB45" s="1"/>
      <c r="OMC45" s="1"/>
      <c r="OMD45" s="1"/>
      <c r="OME45" s="1"/>
      <c r="OMF45" s="1"/>
      <c r="OMG45" s="1"/>
      <c r="OMH45" s="1"/>
      <c r="OMI45" s="1"/>
      <c r="OMJ45" s="1"/>
      <c r="OMK45" s="1"/>
      <c r="OML45" s="1"/>
      <c r="OMM45" s="1"/>
      <c r="OMN45" s="1"/>
      <c r="OMO45" s="1"/>
      <c r="OMP45" s="1"/>
      <c r="OMQ45" s="1"/>
      <c r="OMR45" s="1"/>
      <c r="OMS45" s="1"/>
      <c r="OMT45" s="1"/>
      <c r="OMU45" s="1"/>
      <c r="OMV45" s="1"/>
      <c r="OMW45" s="1"/>
      <c r="OMX45" s="1"/>
      <c r="OMY45" s="1"/>
      <c r="OMZ45" s="1"/>
      <c r="ONA45" s="1"/>
      <c r="ONB45" s="1"/>
      <c r="ONC45" s="1"/>
      <c r="OND45" s="1"/>
      <c r="ONE45" s="1"/>
      <c r="ONF45" s="1"/>
      <c r="ONG45" s="1"/>
      <c r="ONH45" s="1"/>
      <c r="ONI45" s="1"/>
      <c r="ONJ45" s="1"/>
      <c r="ONK45" s="1"/>
      <c r="ONL45" s="1"/>
      <c r="ONM45" s="1"/>
      <c r="ONN45" s="1"/>
      <c r="ONO45" s="1"/>
      <c r="ONP45" s="1"/>
      <c r="ONQ45" s="1"/>
      <c r="ONR45" s="1"/>
      <c r="ONS45" s="1"/>
      <c r="ONT45" s="1"/>
      <c r="ONU45" s="1"/>
      <c r="ONV45" s="1"/>
      <c r="ONW45" s="1"/>
      <c r="ONX45" s="1"/>
      <c r="ONY45" s="1"/>
      <c r="ONZ45" s="1"/>
      <c r="OOA45" s="1"/>
      <c r="OOB45" s="1"/>
      <c r="OOC45" s="1"/>
      <c r="OOD45" s="1"/>
      <c r="OOE45" s="1"/>
      <c r="OOF45" s="1"/>
      <c r="OOG45" s="1"/>
      <c r="OOH45" s="1"/>
      <c r="OOI45" s="1"/>
      <c r="OOJ45" s="1"/>
      <c r="OOK45" s="1"/>
      <c r="OOL45" s="1"/>
      <c r="OOM45" s="1"/>
      <c r="OON45" s="1"/>
      <c r="OOO45" s="1"/>
      <c r="OOP45" s="1"/>
      <c r="OOQ45" s="1"/>
      <c r="OOR45" s="1"/>
      <c r="OOS45" s="1"/>
      <c r="OOT45" s="1"/>
      <c r="OOU45" s="1"/>
      <c r="OOV45" s="1"/>
      <c r="OOW45" s="1"/>
      <c r="OOX45" s="1"/>
      <c r="OOY45" s="1"/>
      <c r="OOZ45" s="1"/>
      <c r="OPA45" s="1"/>
      <c r="OPB45" s="1"/>
      <c r="OPC45" s="1"/>
      <c r="OPD45" s="1"/>
      <c r="OPE45" s="1"/>
      <c r="OPF45" s="1"/>
      <c r="OPG45" s="1"/>
      <c r="OPH45" s="1"/>
      <c r="OPI45" s="1"/>
      <c r="OPJ45" s="1"/>
      <c r="OPK45" s="1"/>
      <c r="OPL45" s="1"/>
      <c r="OPM45" s="1"/>
      <c r="OPN45" s="1"/>
      <c r="OPO45" s="1"/>
      <c r="OPP45" s="1"/>
      <c r="OPQ45" s="1"/>
      <c r="OPR45" s="1"/>
      <c r="OPS45" s="1"/>
      <c r="OPT45" s="1"/>
      <c r="OPU45" s="1"/>
      <c r="OPV45" s="1"/>
      <c r="OPW45" s="1"/>
      <c r="OPX45" s="1"/>
      <c r="OPY45" s="1"/>
      <c r="OPZ45" s="1"/>
      <c r="OQA45" s="1"/>
      <c r="OQB45" s="1"/>
      <c r="OQC45" s="1"/>
      <c r="OQD45" s="1"/>
      <c r="OQE45" s="1"/>
      <c r="OQF45" s="1"/>
      <c r="OQG45" s="1"/>
      <c r="OQH45" s="1"/>
      <c r="OQI45" s="1"/>
      <c r="OQJ45" s="1"/>
      <c r="OQK45" s="1"/>
      <c r="OQL45" s="1"/>
      <c r="OQM45" s="1"/>
      <c r="OQN45" s="1"/>
      <c r="OQO45" s="1"/>
      <c r="OQP45" s="1"/>
      <c r="OQQ45" s="1"/>
      <c r="OQR45" s="1"/>
      <c r="OQS45" s="1"/>
      <c r="OQT45" s="1"/>
      <c r="OQU45" s="1"/>
      <c r="OQV45" s="1"/>
      <c r="OQW45" s="1"/>
      <c r="OQX45" s="1"/>
      <c r="OQY45" s="1"/>
      <c r="OQZ45" s="1"/>
      <c r="ORA45" s="1"/>
      <c r="ORB45" s="1"/>
      <c r="ORC45" s="1"/>
      <c r="ORD45" s="1"/>
      <c r="ORE45" s="1"/>
      <c r="ORF45" s="1"/>
      <c r="ORG45" s="1"/>
      <c r="ORH45" s="1"/>
      <c r="ORI45" s="1"/>
      <c r="ORJ45" s="1"/>
      <c r="ORK45" s="1"/>
      <c r="ORL45" s="1"/>
      <c r="ORM45" s="1"/>
      <c r="ORN45" s="1"/>
      <c r="ORO45" s="1"/>
      <c r="ORP45" s="1"/>
      <c r="ORQ45" s="1"/>
      <c r="ORR45" s="1"/>
      <c r="ORS45" s="1"/>
      <c r="ORT45" s="1"/>
      <c r="ORU45" s="1"/>
      <c r="ORV45" s="1"/>
      <c r="ORW45" s="1"/>
      <c r="ORX45" s="1"/>
      <c r="ORY45" s="1"/>
      <c r="ORZ45" s="1"/>
      <c r="OSA45" s="1"/>
      <c r="OSB45" s="1"/>
      <c r="OSC45" s="1"/>
      <c r="OSD45" s="1"/>
      <c r="OSE45" s="1"/>
      <c r="OSF45" s="1"/>
      <c r="OSG45" s="1"/>
      <c r="OSH45" s="1"/>
      <c r="OSI45" s="1"/>
      <c r="OSJ45" s="1"/>
      <c r="OSK45" s="1"/>
      <c r="OSL45" s="1"/>
      <c r="OSM45" s="1"/>
      <c r="OSN45" s="1"/>
      <c r="OSO45" s="1"/>
      <c r="OSP45" s="1"/>
      <c r="OSQ45" s="1"/>
      <c r="OSR45" s="1"/>
      <c r="OSS45" s="1"/>
      <c r="OST45" s="1"/>
      <c r="OSU45" s="1"/>
      <c r="OSV45" s="1"/>
      <c r="OSW45" s="1"/>
      <c r="OSX45" s="1"/>
      <c r="OSY45" s="1"/>
      <c r="OSZ45" s="1"/>
      <c r="OTA45" s="1"/>
      <c r="OTB45" s="1"/>
      <c r="OTC45" s="1"/>
      <c r="OTD45" s="1"/>
      <c r="OTE45" s="1"/>
      <c r="OTF45" s="1"/>
      <c r="OTG45" s="1"/>
      <c r="OTH45" s="1"/>
      <c r="OTI45" s="1"/>
      <c r="OTJ45" s="1"/>
      <c r="OTK45" s="1"/>
      <c r="OTL45" s="1"/>
      <c r="OTM45" s="1"/>
      <c r="OTN45" s="1"/>
      <c r="OTO45" s="1"/>
      <c r="OTP45" s="1"/>
      <c r="OTQ45" s="1"/>
      <c r="OTR45" s="1"/>
      <c r="OTS45" s="1"/>
      <c r="OTT45" s="1"/>
      <c r="OTU45" s="1"/>
      <c r="OTV45" s="1"/>
      <c r="OTW45" s="1"/>
      <c r="OTX45" s="1"/>
      <c r="OTY45" s="1"/>
      <c r="OTZ45" s="1"/>
      <c r="OUA45" s="1"/>
      <c r="OUB45" s="1"/>
      <c r="OUC45" s="1"/>
      <c r="OUD45" s="1"/>
      <c r="OUE45" s="1"/>
      <c r="OUF45" s="1"/>
      <c r="OUG45" s="1"/>
      <c r="OUH45" s="1"/>
      <c r="OUI45" s="1"/>
      <c r="OUJ45" s="1"/>
      <c r="OUK45" s="1"/>
      <c r="OUL45" s="1"/>
      <c r="OUM45" s="1"/>
      <c r="OUN45" s="1"/>
      <c r="OUO45" s="1"/>
      <c r="OUP45" s="1"/>
      <c r="OUQ45" s="1"/>
      <c r="OUR45" s="1"/>
      <c r="OUS45" s="1"/>
      <c r="OUT45" s="1"/>
      <c r="OUU45" s="1"/>
      <c r="OUV45" s="1"/>
      <c r="OUW45" s="1"/>
      <c r="OUX45" s="1"/>
      <c r="OUY45" s="1"/>
      <c r="OUZ45" s="1"/>
      <c r="OVA45" s="1"/>
      <c r="OVB45" s="1"/>
      <c r="OVC45" s="1"/>
      <c r="OVD45" s="1"/>
      <c r="OVE45" s="1"/>
      <c r="OVF45" s="1"/>
      <c r="OVG45" s="1"/>
      <c r="OVH45" s="1"/>
      <c r="OVI45" s="1"/>
      <c r="OVJ45" s="1"/>
      <c r="OVK45" s="1"/>
      <c r="OVL45" s="1"/>
      <c r="OVM45" s="1"/>
      <c r="OVN45" s="1"/>
      <c r="OVO45" s="1"/>
      <c r="OVP45" s="1"/>
      <c r="OVQ45" s="1"/>
      <c r="OVR45" s="1"/>
      <c r="OVS45" s="1"/>
      <c r="OVT45" s="1"/>
      <c r="OVU45" s="1"/>
      <c r="OVV45" s="1"/>
      <c r="OVW45" s="1"/>
      <c r="OVX45" s="1"/>
      <c r="OVY45" s="1"/>
      <c r="OVZ45" s="1"/>
      <c r="OWA45" s="1"/>
      <c r="OWB45" s="1"/>
      <c r="OWC45" s="1"/>
      <c r="OWD45" s="1"/>
      <c r="OWE45" s="1"/>
      <c r="OWF45" s="1"/>
      <c r="OWG45" s="1"/>
      <c r="OWH45" s="1"/>
      <c r="OWI45" s="1"/>
      <c r="OWJ45" s="1"/>
      <c r="OWK45" s="1"/>
      <c r="OWL45" s="1"/>
      <c r="OWM45" s="1"/>
      <c r="OWN45" s="1"/>
      <c r="OWO45" s="1"/>
      <c r="OWP45" s="1"/>
      <c r="OWQ45" s="1"/>
      <c r="OWR45" s="1"/>
      <c r="OWS45" s="1"/>
      <c r="OWT45" s="1"/>
      <c r="OWU45" s="1"/>
      <c r="OWV45" s="1"/>
      <c r="OWW45" s="1"/>
      <c r="OWX45" s="1"/>
      <c r="OWY45" s="1"/>
      <c r="OWZ45" s="1"/>
      <c r="OXA45" s="1"/>
      <c r="OXB45" s="1"/>
      <c r="OXC45" s="1"/>
      <c r="OXD45" s="1"/>
      <c r="OXE45" s="1"/>
      <c r="OXF45" s="1"/>
      <c r="OXG45" s="1"/>
      <c r="OXH45" s="1"/>
      <c r="OXI45" s="1"/>
      <c r="OXJ45" s="1"/>
      <c r="OXK45" s="1"/>
      <c r="OXL45" s="1"/>
      <c r="OXM45" s="1"/>
      <c r="OXN45" s="1"/>
      <c r="OXO45" s="1"/>
      <c r="OXP45" s="1"/>
      <c r="OXQ45" s="1"/>
      <c r="OXR45" s="1"/>
      <c r="OXS45" s="1"/>
      <c r="OXT45" s="1"/>
      <c r="OXU45" s="1"/>
      <c r="OXV45" s="1"/>
      <c r="OXW45" s="1"/>
      <c r="OXX45" s="1"/>
      <c r="OXY45" s="1"/>
      <c r="OXZ45" s="1"/>
      <c r="OYA45" s="1"/>
      <c r="OYB45" s="1"/>
      <c r="OYC45" s="1"/>
      <c r="OYD45" s="1"/>
      <c r="OYE45" s="1"/>
      <c r="OYF45" s="1"/>
      <c r="OYG45" s="1"/>
      <c r="OYH45" s="1"/>
      <c r="OYI45" s="1"/>
      <c r="OYJ45" s="1"/>
      <c r="OYK45" s="1"/>
      <c r="OYL45" s="1"/>
      <c r="OYM45" s="1"/>
      <c r="OYN45" s="1"/>
      <c r="OYO45" s="1"/>
      <c r="OYP45" s="1"/>
      <c r="OYQ45" s="1"/>
      <c r="OYR45" s="1"/>
      <c r="OYS45" s="1"/>
      <c r="OYT45" s="1"/>
      <c r="OYU45" s="1"/>
      <c r="OYV45" s="1"/>
      <c r="OYW45" s="1"/>
      <c r="OYX45" s="1"/>
      <c r="OYY45" s="1"/>
      <c r="OYZ45" s="1"/>
      <c r="OZA45" s="1"/>
      <c r="OZB45" s="1"/>
      <c r="OZC45" s="1"/>
      <c r="OZD45" s="1"/>
      <c r="OZE45" s="1"/>
      <c r="OZF45" s="1"/>
      <c r="OZG45" s="1"/>
      <c r="OZH45" s="1"/>
      <c r="OZI45" s="1"/>
      <c r="OZJ45" s="1"/>
      <c r="OZK45" s="1"/>
      <c r="OZL45" s="1"/>
      <c r="OZM45" s="1"/>
      <c r="OZN45" s="1"/>
      <c r="OZO45" s="1"/>
      <c r="OZP45" s="1"/>
      <c r="OZQ45" s="1"/>
      <c r="OZR45" s="1"/>
      <c r="OZS45" s="1"/>
      <c r="OZT45" s="1"/>
      <c r="OZU45" s="1"/>
      <c r="OZV45" s="1"/>
      <c r="OZW45" s="1"/>
      <c r="OZX45" s="1"/>
      <c r="OZY45" s="1"/>
      <c r="OZZ45" s="1"/>
      <c r="PAA45" s="1"/>
      <c r="PAB45" s="1"/>
      <c r="PAC45" s="1"/>
      <c r="PAD45" s="1"/>
      <c r="PAE45" s="1"/>
      <c r="PAF45" s="1"/>
      <c r="PAG45" s="1"/>
      <c r="PAH45" s="1"/>
      <c r="PAI45" s="1"/>
      <c r="PAJ45" s="1"/>
      <c r="PAK45" s="1"/>
      <c r="PAL45" s="1"/>
      <c r="PAM45" s="1"/>
      <c r="PAN45" s="1"/>
      <c r="PAO45" s="1"/>
      <c r="PAP45" s="1"/>
      <c r="PAQ45" s="1"/>
      <c r="PAR45" s="1"/>
      <c r="PAS45" s="1"/>
      <c r="PAT45" s="1"/>
      <c r="PAU45" s="1"/>
      <c r="PAV45" s="1"/>
      <c r="PAW45" s="1"/>
      <c r="PAX45" s="1"/>
      <c r="PAY45" s="1"/>
      <c r="PAZ45" s="1"/>
      <c r="PBA45" s="1"/>
      <c r="PBB45" s="1"/>
      <c r="PBC45" s="1"/>
      <c r="PBD45" s="1"/>
      <c r="PBE45" s="1"/>
      <c r="PBF45" s="1"/>
      <c r="PBG45" s="1"/>
      <c r="PBH45" s="1"/>
      <c r="PBI45" s="1"/>
      <c r="PBJ45" s="1"/>
      <c r="PBK45" s="1"/>
      <c r="PBL45" s="1"/>
      <c r="PBM45" s="1"/>
      <c r="PBN45" s="1"/>
      <c r="PBO45" s="1"/>
      <c r="PBP45" s="1"/>
      <c r="PBQ45" s="1"/>
      <c r="PBR45" s="1"/>
      <c r="PBS45" s="1"/>
      <c r="PBT45" s="1"/>
      <c r="PBU45" s="1"/>
      <c r="PBV45" s="1"/>
      <c r="PBW45" s="1"/>
      <c r="PBX45" s="1"/>
      <c r="PBY45" s="1"/>
      <c r="PBZ45" s="1"/>
      <c r="PCA45" s="1"/>
      <c r="PCB45" s="1"/>
      <c r="PCC45" s="1"/>
      <c r="PCD45" s="1"/>
      <c r="PCE45" s="1"/>
      <c r="PCF45" s="1"/>
      <c r="PCG45" s="1"/>
      <c r="PCH45" s="1"/>
      <c r="PCI45" s="1"/>
      <c r="PCJ45" s="1"/>
      <c r="PCK45" s="1"/>
      <c r="PCL45" s="1"/>
      <c r="PCM45" s="1"/>
      <c r="PCN45" s="1"/>
      <c r="PCO45" s="1"/>
      <c r="PCP45" s="1"/>
      <c r="PCQ45" s="1"/>
      <c r="PCR45" s="1"/>
      <c r="PCS45" s="1"/>
      <c r="PCT45" s="1"/>
      <c r="PCU45" s="1"/>
      <c r="PCV45" s="1"/>
      <c r="PCW45" s="1"/>
      <c r="PCX45" s="1"/>
      <c r="PCY45" s="1"/>
      <c r="PCZ45" s="1"/>
      <c r="PDA45" s="1"/>
      <c r="PDB45" s="1"/>
      <c r="PDC45" s="1"/>
      <c r="PDD45" s="1"/>
      <c r="PDE45" s="1"/>
      <c r="PDF45" s="1"/>
      <c r="PDG45" s="1"/>
      <c r="PDH45" s="1"/>
      <c r="PDI45" s="1"/>
      <c r="PDJ45" s="1"/>
      <c r="PDK45" s="1"/>
      <c r="PDL45" s="1"/>
      <c r="PDM45" s="1"/>
      <c r="PDN45" s="1"/>
      <c r="PDO45" s="1"/>
      <c r="PDP45" s="1"/>
      <c r="PDQ45" s="1"/>
      <c r="PDR45" s="1"/>
      <c r="PDS45" s="1"/>
      <c r="PDT45" s="1"/>
      <c r="PDU45" s="1"/>
      <c r="PDV45" s="1"/>
      <c r="PDW45" s="1"/>
      <c r="PDX45" s="1"/>
      <c r="PDY45" s="1"/>
      <c r="PDZ45" s="1"/>
      <c r="PEA45" s="1"/>
      <c r="PEB45" s="1"/>
      <c r="PEC45" s="1"/>
      <c r="PED45" s="1"/>
      <c r="PEE45" s="1"/>
      <c r="PEF45" s="1"/>
      <c r="PEG45" s="1"/>
      <c r="PEH45" s="1"/>
      <c r="PEI45" s="1"/>
      <c r="PEJ45" s="1"/>
      <c r="PEK45" s="1"/>
      <c r="PEL45" s="1"/>
      <c r="PEM45" s="1"/>
      <c r="PEN45" s="1"/>
      <c r="PEO45" s="1"/>
      <c r="PEP45" s="1"/>
      <c r="PEQ45" s="1"/>
      <c r="PER45" s="1"/>
      <c r="PES45" s="1"/>
      <c r="PET45" s="1"/>
      <c r="PEU45" s="1"/>
      <c r="PEV45" s="1"/>
      <c r="PEW45" s="1"/>
      <c r="PEX45" s="1"/>
      <c r="PEY45" s="1"/>
      <c r="PEZ45" s="1"/>
      <c r="PFA45" s="1"/>
      <c r="PFB45" s="1"/>
      <c r="PFC45" s="1"/>
      <c r="PFD45" s="1"/>
      <c r="PFE45" s="1"/>
      <c r="PFF45" s="1"/>
      <c r="PFG45" s="1"/>
      <c r="PFH45" s="1"/>
      <c r="PFI45" s="1"/>
      <c r="PFJ45" s="1"/>
      <c r="PFK45" s="1"/>
      <c r="PFL45" s="1"/>
      <c r="PFM45" s="1"/>
      <c r="PFN45" s="1"/>
      <c r="PFO45" s="1"/>
      <c r="PFP45" s="1"/>
      <c r="PFQ45" s="1"/>
      <c r="PFR45" s="1"/>
      <c r="PFS45" s="1"/>
      <c r="PFT45" s="1"/>
      <c r="PFU45" s="1"/>
      <c r="PFV45" s="1"/>
      <c r="PFW45" s="1"/>
      <c r="PFX45" s="1"/>
      <c r="PFY45" s="1"/>
      <c r="PFZ45" s="1"/>
      <c r="PGA45" s="1"/>
      <c r="PGB45" s="1"/>
      <c r="PGC45" s="1"/>
      <c r="PGD45" s="1"/>
      <c r="PGE45" s="1"/>
      <c r="PGF45" s="1"/>
      <c r="PGG45" s="1"/>
      <c r="PGH45" s="1"/>
      <c r="PGI45" s="1"/>
      <c r="PGJ45" s="1"/>
      <c r="PGK45" s="1"/>
      <c r="PGL45" s="1"/>
      <c r="PGM45" s="1"/>
      <c r="PGN45" s="1"/>
      <c r="PGO45" s="1"/>
      <c r="PGP45" s="1"/>
      <c r="PGQ45" s="1"/>
      <c r="PGR45" s="1"/>
      <c r="PGS45" s="1"/>
      <c r="PGT45" s="1"/>
      <c r="PGU45" s="1"/>
      <c r="PGV45" s="1"/>
      <c r="PGW45" s="1"/>
      <c r="PGX45" s="1"/>
      <c r="PGY45" s="1"/>
      <c r="PGZ45" s="1"/>
      <c r="PHA45" s="1"/>
      <c r="PHB45" s="1"/>
      <c r="PHC45" s="1"/>
      <c r="PHD45" s="1"/>
      <c r="PHE45" s="1"/>
      <c r="PHF45" s="1"/>
      <c r="PHG45" s="1"/>
      <c r="PHH45" s="1"/>
      <c r="PHI45" s="1"/>
      <c r="PHJ45" s="1"/>
      <c r="PHK45" s="1"/>
      <c r="PHL45" s="1"/>
      <c r="PHM45" s="1"/>
      <c r="PHN45" s="1"/>
      <c r="PHO45" s="1"/>
      <c r="PHP45" s="1"/>
      <c r="PHQ45" s="1"/>
      <c r="PHR45" s="1"/>
      <c r="PHS45" s="1"/>
      <c r="PHT45" s="1"/>
      <c r="PHU45" s="1"/>
      <c r="PHV45" s="1"/>
      <c r="PHW45" s="1"/>
      <c r="PHX45" s="1"/>
      <c r="PHY45" s="1"/>
      <c r="PHZ45" s="1"/>
      <c r="PIA45" s="1"/>
      <c r="PIB45" s="1"/>
      <c r="PIC45" s="1"/>
      <c r="PID45" s="1"/>
      <c r="PIE45" s="1"/>
      <c r="PIF45" s="1"/>
      <c r="PIG45" s="1"/>
      <c r="PIH45" s="1"/>
      <c r="PII45" s="1"/>
      <c r="PIJ45" s="1"/>
      <c r="PIK45" s="1"/>
      <c r="PIL45" s="1"/>
      <c r="PIM45" s="1"/>
      <c r="PIN45" s="1"/>
      <c r="PIO45" s="1"/>
      <c r="PIP45" s="1"/>
      <c r="PIQ45" s="1"/>
      <c r="PIR45" s="1"/>
      <c r="PIS45" s="1"/>
      <c r="PIT45" s="1"/>
      <c r="PIU45" s="1"/>
      <c r="PIV45" s="1"/>
      <c r="PIW45" s="1"/>
      <c r="PIX45" s="1"/>
      <c r="PIY45" s="1"/>
      <c r="PIZ45" s="1"/>
      <c r="PJA45" s="1"/>
      <c r="PJB45" s="1"/>
      <c r="PJC45" s="1"/>
      <c r="PJD45" s="1"/>
      <c r="PJE45" s="1"/>
      <c r="PJF45" s="1"/>
      <c r="PJG45" s="1"/>
      <c r="PJH45" s="1"/>
      <c r="PJI45" s="1"/>
      <c r="PJJ45" s="1"/>
      <c r="PJK45" s="1"/>
      <c r="PJL45" s="1"/>
      <c r="PJM45" s="1"/>
      <c r="PJN45" s="1"/>
      <c r="PJO45" s="1"/>
      <c r="PJP45" s="1"/>
      <c r="PJQ45" s="1"/>
      <c r="PJR45" s="1"/>
      <c r="PJS45" s="1"/>
      <c r="PJT45" s="1"/>
      <c r="PJU45" s="1"/>
      <c r="PJV45" s="1"/>
      <c r="PJW45" s="1"/>
      <c r="PJX45" s="1"/>
      <c r="PJY45" s="1"/>
      <c r="PJZ45" s="1"/>
      <c r="PKA45" s="1"/>
      <c r="PKB45" s="1"/>
      <c r="PKC45" s="1"/>
      <c r="PKD45" s="1"/>
      <c r="PKE45" s="1"/>
      <c r="PKF45" s="1"/>
      <c r="PKG45" s="1"/>
      <c r="PKH45" s="1"/>
      <c r="PKI45" s="1"/>
      <c r="PKJ45" s="1"/>
      <c r="PKK45" s="1"/>
      <c r="PKL45" s="1"/>
      <c r="PKM45" s="1"/>
      <c r="PKN45" s="1"/>
      <c r="PKO45" s="1"/>
      <c r="PKP45" s="1"/>
      <c r="PKQ45" s="1"/>
      <c r="PKR45" s="1"/>
      <c r="PKS45" s="1"/>
      <c r="PKT45" s="1"/>
      <c r="PKU45" s="1"/>
      <c r="PKV45" s="1"/>
      <c r="PKW45" s="1"/>
      <c r="PKX45" s="1"/>
      <c r="PKY45" s="1"/>
      <c r="PKZ45" s="1"/>
      <c r="PLA45" s="1"/>
      <c r="PLB45" s="1"/>
      <c r="PLC45" s="1"/>
      <c r="PLD45" s="1"/>
      <c r="PLE45" s="1"/>
      <c r="PLF45" s="1"/>
      <c r="PLG45" s="1"/>
      <c r="PLH45" s="1"/>
      <c r="PLI45" s="1"/>
      <c r="PLJ45" s="1"/>
      <c r="PLK45" s="1"/>
      <c r="PLL45" s="1"/>
      <c r="PLM45" s="1"/>
      <c r="PLN45" s="1"/>
      <c r="PLO45" s="1"/>
      <c r="PLP45" s="1"/>
      <c r="PLQ45" s="1"/>
      <c r="PLR45" s="1"/>
      <c r="PLS45" s="1"/>
      <c r="PLT45" s="1"/>
      <c r="PLU45" s="1"/>
      <c r="PLV45" s="1"/>
      <c r="PLW45" s="1"/>
      <c r="PLX45" s="1"/>
      <c r="PLY45" s="1"/>
      <c r="PLZ45" s="1"/>
      <c r="PMA45" s="1"/>
      <c r="PMB45" s="1"/>
      <c r="PMC45" s="1"/>
      <c r="PMD45" s="1"/>
      <c r="PME45" s="1"/>
      <c r="PMF45" s="1"/>
      <c r="PMG45" s="1"/>
      <c r="PMH45" s="1"/>
      <c r="PMI45" s="1"/>
      <c r="PMJ45" s="1"/>
      <c r="PMK45" s="1"/>
      <c r="PML45" s="1"/>
      <c r="PMM45" s="1"/>
      <c r="PMN45" s="1"/>
      <c r="PMO45" s="1"/>
      <c r="PMP45" s="1"/>
      <c r="PMQ45" s="1"/>
      <c r="PMR45" s="1"/>
      <c r="PMS45" s="1"/>
      <c r="PMT45" s="1"/>
      <c r="PMU45" s="1"/>
      <c r="PMV45" s="1"/>
      <c r="PMW45" s="1"/>
      <c r="PMX45" s="1"/>
      <c r="PMY45" s="1"/>
      <c r="PMZ45" s="1"/>
      <c r="PNA45" s="1"/>
      <c r="PNB45" s="1"/>
      <c r="PNC45" s="1"/>
      <c r="PND45" s="1"/>
      <c r="PNE45" s="1"/>
      <c r="PNF45" s="1"/>
      <c r="PNG45" s="1"/>
      <c r="PNH45" s="1"/>
      <c r="PNI45" s="1"/>
      <c r="PNJ45" s="1"/>
      <c r="PNK45" s="1"/>
      <c r="PNL45" s="1"/>
      <c r="PNM45" s="1"/>
      <c r="PNN45" s="1"/>
      <c r="PNO45" s="1"/>
      <c r="PNP45" s="1"/>
      <c r="PNQ45" s="1"/>
      <c r="PNR45" s="1"/>
      <c r="PNS45" s="1"/>
      <c r="PNT45" s="1"/>
      <c r="PNU45" s="1"/>
      <c r="PNV45" s="1"/>
      <c r="PNW45" s="1"/>
      <c r="PNX45" s="1"/>
      <c r="PNY45" s="1"/>
      <c r="PNZ45" s="1"/>
      <c r="POA45" s="1"/>
      <c r="POB45" s="1"/>
      <c r="POC45" s="1"/>
      <c r="POD45" s="1"/>
      <c r="POE45" s="1"/>
      <c r="POF45" s="1"/>
      <c r="POG45" s="1"/>
      <c r="POH45" s="1"/>
      <c r="POI45" s="1"/>
      <c r="POJ45" s="1"/>
      <c r="POK45" s="1"/>
      <c r="POL45" s="1"/>
      <c r="POM45" s="1"/>
      <c r="PON45" s="1"/>
      <c r="POO45" s="1"/>
      <c r="POP45" s="1"/>
      <c r="POQ45" s="1"/>
      <c r="POR45" s="1"/>
      <c r="POS45" s="1"/>
      <c r="POT45" s="1"/>
      <c r="POU45" s="1"/>
      <c r="POV45" s="1"/>
      <c r="POW45" s="1"/>
      <c r="POX45" s="1"/>
      <c r="POY45" s="1"/>
      <c r="POZ45" s="1"/>
      <c r="PPA45" s="1"/>
      <c r="PPB45" s="1"/>
      <c r="PPC45" s="1"/>
      <c r="PPD45" s="1"/>
      <c r="PPE45" s="1"/>
      <c r="PPF45" s="1"/>
      <c r="PPG45" s="1"/>
      <c r="PPH45" s="1"/>
      <c r="PPI45" s="1"/>
      <c r="PPJ45" s="1"/>
      <c r="PPK45" s="1"/>
      <c r="PPL45" s="1"/>
      <c r="PPM45" s="1"/>
      <c r="PPN45" s="1"/>
      <c r="PPO45" s="1"/>
      <c r="PPP45" s="1"/>
      <c r="PPQ45" s="1"/>
      <c r="PPR45" s="1"/>
      <c r="PPS45" s="1"/>
      <c r="PPT45" s="1"/>
      <c r="PPU45" s="1"/>
      <c r="PPV45" s="1"/>
      <c r="PPW45" s="1"/>
      <c r="PPX45" s="1"/>
      <c r="PPY45" s="1"/>
      <c r="PPZ45" s="1"/>
      <c r="PQA45" s="1"/>
      <c r="PQB45" s="1"/>
      <c r="PQC45" s="1"/>
      <c r="PQD45" s="1"/>
      <c r="PQE45" s="1"/>
      <c r="PQF45" s="1"/>
      <c r="PQG45" s="1"/>
      <c r="PQH45" s="1"/>
      <c r="PQI45" s="1"/>
      <c r="PQJ45" s="1"/>
      <c r="PQK45" s="1"/>
      <c r="PQL45" s="1"/>
      <c r="PQM45" s="1"/>
      <c r="PQN45" s="1"/>
      <c r="PQO45" s="1"/>
      <c r="PQP45" s="1"/>
      <c r="PQQ45" s="1"/>
      <c r="PQR45" s="1"/>
      <c r="PQS45" s="1"/>
      <c r="PQT45" s="1"/>
      <c r="PQU45" s="1"/>
      <c r="PQV45" s="1"/>
      <c r="PQW45" s="1"/>
      <c r="PQX45" s="1"/>
      <c r="PQY45" s="1"/>
      <c r="PQZ45" s="1"/>
      <c r="PRA45" s="1"/>
      <c r="PRB45" s="1"/>
      <c r="PRC45" s="1"/>
      <c r="PRD45" s="1"/>
      <c r="PRE45" s="1"/>
      <c r="PRF45" s="1"/>
      <c r="PRG45" s="1"/>
      <c r="PRH45" s="1"/>
      <c r="PRI45" s="1"/>
      <c r="PRJ45" s="1"/>
      <c r="PRK45" s="1"/>
      <c r="PRL45" s="1"/>
      <c r="PRM45" s="1"/>
      <c r="PRN45" s="1"/>
      <c r="PRO45" s="1"/>
      <c r="PRP45" s="1"/>
      <c r="PRQ45" s="1"/>
      <c r="PRR45" s="1"/>
      <c r="PRS45" s="1"/>
      <c r="PRT45" s="1"/>
      <c r="PRU45" s="1"/>
      <c r="PRV45" s="1"/>
      <c r="PRW45" s="1"/>
      <c r="PRX45" s="1"/>
      <c r="PRY45" s="1"/>
      <c r="PRZ45" s="1"/>
      <c r="PSA45" s="1"/>
      <c r="PSB45" s="1"/>
      <c r="PSC45" s="1"/>
      <c r="PSD45" s="1"/>
      <c r="PSE45" s="1"/>
      <c r="PSF45" s="1"/>
      <c r="PSG45" s="1"/>
      <c r="PSH45" s="1"/>
      <c r="PSI45" s="1"/>
      <c r="PSJ45" s="1"/>
      <c r="PSK45" s="1"/>
      <c r="PSL45" s="1"/>
      <c r="PSM45" s="1"/>
      <c r="PSN45" s="1"/>
      <c r="PSO45" s="1"/>
      <c r="PSP45" s="1"/>
      <c r="PSQ45" s="1"/>
      <c r="PSR45" s="1"/>
      <c r="PSS45" s="1"/>
      <c r="PST45" s="1"/>
      <c r="PSU45" s="1"/>
      <c r="PSV45" s="1"/>
      <c r="PSW45" s="1"/>
      <c r="PSX45" s="1"/>
      <c r="PSY45" s="1"/>
      <c r="PSZ45" s="1"/>
      <c r="PTA45" s="1"/>
      <c r="PTB45" s="1"/>
      <c r="PTC45" s="1"/>
      <c r="PTD45" s="1"/>
      <c r="PTE45" s="1"/>
      <c r="PTF45" s="1"/>
      <c r="PTG45" s="1"/>
      <c r="PTH45" s="1"/>
      <c r="PTI45" s="1"/>
      <c r="PTJ45" s="1"/>
      <c r="PTK45" s="1"/>
      <c r="PTL45" s="1"/>
      <c r="PTM45" s="1"/>
      <c r="PTN45" s="1"/>
      <c r="PTO45" s="1"/>
      <c r="PTP45" s="1"/>
      <c r="PTQ45" s="1"/>
      <c r="PTR45" s="1"/>
      <c r="PTS45" s="1"/>
      <c r="PTT45" s="1"/>
      <c r="PTU45" s="1"/>
      <c r="PTV45" s="1"/>
      <c r="PTW45" s="1"/>
      <c r="PTX45" s="1"/>
      <c r="PTY45" s="1"/>
      <c r="PTZ45" s="1"/>
      <c r="PUA45" s="1"/>
      <c r="PUB45" s="1"/>
      <c r="PUC45" s="1"/>
      <c r="PUD45" s="1"/>
      <c r="PUE45" s="1"/>
      <c r="PUF45" s="1"/>
      <c r="PUG45" s="1"/>
      <c r="PUH45" s="1"/>
      <c r="PUI45" s="1"/>
      <c r="PUJ45" s="1"/>
      <c r="PUK45" s="1"/>
      <c r="PUL45" s="1"/>
      <c r="PUM45" s="1"/>
      <c r="PUN45" s="1"/>
      <c r="PUO45" s="1"/>
      <c r="PUP45" s="1"/>
      <c r="PUQ45" s="1"/>
      <c r="PUR45" s="1"/>
      <c r="PUS45" s="1"/>
      <c r="PUT45" s="1"/>
      <c r="PUU45" s="1"/>
      <c r="PUV45" s="1"/>
      <c r="PUW45" s="1"/>
      <c r="PUX45" s="1"/>
      <c r="PUY45" s="1"/>
      <c r="PUZ45" s="1"/>
      <c r="PVA45" s="1"/>
      <c r="PVB45" s="1"/>
      <c r="PVC45" s="1"/>
      <c r="PVD45" s="1"/>
      <c r="PVE45" s="1"/>
      <c r="PVF45" s="1"/>
      <c r="PVG45" s="1"/>
      <c r="PVH45" s="1"/>
      <c r="PVI45" s="1"/>
      <c r="PVJ45" s="1"/>
      <c r="PVK45" s="1"/>
      <c r="PVL45" s="1"/>
      <c r="PVM45" s="1"/>
      <c r="PVN45" s="1"/>
      <c r="PVO45" s="1"/>
      <c r="PVP45" s="1"/>
      <c r="PVQ45" s="1"/>
      <c r="PVR45" s="1"/>
      <c r="PVS45" s="1"/>
      <c r="PVT45" s="1"/>
      <c r="PVU45" s="1"/>
      <c r="PVV45" s="1"/>
      <c r="PVW45" s="1"/>
      <c r="PVX45" s="1"/>
      <c r="PVY45" s="1"/>
      <c r="PVZ45" s="1"/>
      <c r="PWA45" s="1"/>
      <c r="PWB45" s="1"/>
      <c r="PWC45" s="1"/>
      <c r="PWD45" s="1"/>
      <c r="PWE45" s="1"/>
      <c r="PWF45" s="1"/>
      <c r="PWG45" s="1"/>
      <c r="PWH45" s="1"/>
      <c r="PWI45" s="1"/>
      <c r="PWJ45" s="1"/>
      <c r="PWK45" s="1"/>
      <c r="PWL45" s="1"/>
      <c r="PWM45" s="1"/>
      <c r="PWN45" s="1"/>
      <c r="PWO45" s="1"/>
      <c r="PWP45" s="1"/>
      <c r="PWQ45" s="1"/>
      <c r="PWR45" s="1"/>
      <c r="PWS45" s="1"/>
      <c r="PWT45" s="1"/>
      <c r="PWU45" s="1"/>
      <c r="PWV45" s="1"/>
      <c r="PWW45" s="1"/>
      <c r="PWX45" s="1"/>
      <c r="PWY45" s="1"/>
      <c r="PWZ45" s="1"/>
      <c r="PXA45" s="1"/>
      <c r="PXB45" s="1"/>
      <c r="PXC45" s="1"/>
      <c r="PXD45" s="1"/>
      <c r="PXE45" s="1"/>
      <c r="PXF45" s="1"/>
      <c r="PXG45" s="1"/>
      <c r="PXH45" s="1"/>
      <c r="PXI45" s="1"/>
      <c r="PXJ45" s="1"/>
      <c r="PXK45" s="1"/>
      <c r="PXL45" s="1"/>
      <c r="PXM45" s="1"/>
      <c r="PXN45" s="1"/>
      <c r="PXO45" s="1"/>
      <c r="PXP45" s="1"/>
      <c r="PXQ45" s="1"/>
      <c r="PXR45" s="1"/>
      <c r="PXS45" s="1"/>
      <c r="PXT45" s="1"/>
      <c r="PXU45" s="1"/>
      <c r="PXV45" s="1"/>
      <c r="PXW45" s="1"/>
      <c r="PXX45" s="1"/>
      <c r="PXY45" s="1"/>
      <c r="PXZ45" s="1"/>
      <c r="PYA45" s="1"/>
      <c r="PYB45" s="1"/>
      <c r="PYC45" s="1"/>
      <c r="PYD45" s="1"/>
      <c r="PYE45" s="1"/>
      <c r="PYF45" s="1"/>
      <c r="PYG45" s="1"/>
      <c r="PYH45" s="1"/>
      <c r="PYI45" s="1"/>
      <c r="PYJ45" s="1"/>
      <c r="PYK45" s="1"/>
      <c r="PYL45" s="1"/>
      <c r="PYM45" s="1"/>
      <c r="PYN45" s="1"/>
      <c r="PYO45" s="1"/>
      <c r="PYP45" s="1"/>
      <c r="PYQ45" s="1"/>
      <c r="PYR45" s="1"/>
      <c r="PYS45" s="1"/>
      <c r="PYT45" s="1"/>
      <c r="PYU45" s="1"/>
      <c r="PYV45" s="1"/>
      <c r="PYW45" s="1"/>
      <c r="PYX45" s="1"/>
      <c r="PYY45" s="1"/>
      <c r="PYZ45" s="1"/>
      <c r="PZA45" s="1"/>
      <c r="PZB45" s="1"/>
      <c r="PZC45" s="1"/>
      <c r="PZD45" s="1"/>
      <c r="PZE45" s="1"/>
      <c r="PZF45" s="1"/>
      <c r="PZG45" s="1"/>
      <c r="PZH45" s="1"/>
      <c r="PZI45" s="1"/>
      <c r="PZJ45" s="1"/>
      <c r="PZK45" s="1"/>
      <c r="PZL45" s="1"/>
      <c r="PZM45" s="1"/>
      <c r="PZN45" s="1"/>
      <c r="PZO45" s="1"/>
      <c r="PZP45" s="1"/>
      <c r="PZQ45" s="1"/>
      <c r="PZR45" s="1"/>
      <c r="PZS45" s="1"/>
      <c r="PZT45" s="1"/>
      <c r="PZU45" s="1"/>
      <c r="PZV45" s="1"/>
      <c r="PZW45" s="1"/>
      <c r="PZX45" s="1"/>
      <c r="PZY45" s="1"/>
      <c r="PZZ45" s="1"/>
      <c r="QAA45" s="1"/>
      <c r="QAB45" s="1"/>
      <c r="QAC45" s="1"/>
      <c r="QAD45" s="1"/>
      <c r="QAE45" s="1"/>
      <c r="QAF45" s="1"/>
      <c r="QAG45" s="1"/>
      <c r="QAH45" s="1"/>
      <c r="QAI45" s="1"/>
      <c r="QAJ45" s="1"/>
      <c r="QAK45" s="1"/>
      <c r="QAL45" s="1"/>
      <c r="QAM45" s="1"/>
      <c r="QAN45" s="1"/>
      <c r="QAO45" s="1"/>
      <c r="QAP45" s="1"/>
      <c r="QAQ45" s="1"/>
      <c r="QAR45" s="1"/>
      <c r="QAS45" s="1"/>
      <c r="QAT45" s="1"/>
      <c r="QAU45" s="1"/>
      <c r="QAV45" s="1"/>
      <c r="QAW45" s="1"/>
      <c r="QAX45" s="1"/>
      <c r="QAY45" s="1"/>
      <c r="QAZ45" s="1"/>
      <c r="QBA45" s="1"/>
      <c r="QBB45" s="1"/>
      <c r="QBC45" s="1"/>
      <c r="QBD45" s="1"/>
      <c r="QBE45" s="1"/>
      <c r="QBF45" s="1"/>
      <c r="QBG45" s="1"/>
      <c r="QBH45" s="1"/>
      <c r="QBI45" s="1"/>
      <c r="QBJ45" s="1"/>
      <c r="QBK45" s="1"/>
      <c r="QBL45" s="1"/>
      <c r="QBM45" s="1"/>
      <c r="QBN45" s="1"/>
      <c r="QBO45" s="1"/>
      <c r="QBP45" s="1"/>
      <c r="QBQ45" s="1"/>
      <c r="QBR45" s="1"/>
      <c r="QBS45" s="1"/>
      <c r="QBT45" s="1"/>
      <c r="QBU45" s="1"/>
      <c r="QBV45" s="1"/>
      <c r="QBW45" s="1"/>
      <c r="QBX45" s="1"/>
      <c r="QBY45" s="1"/>
      <c r="QBZ45" s="1"/>
      <c r="QCA45" s="1"/>
      <c r="QCB45" s="1"/>
      <c r="QCC45" s="1"/>
      <c r="QCD45" s="1"/>
      <c r="QCE45" s="1"/>
      <c r="QCF45" s="1"/>
      <c r="QCG45" s="1"/>
      <c r="QCH45" s="1"/>
      <c r="QCI45" s="1"/>
      <c r="QCJ45" s="1"/>
      <c r="QCK45" s="1"/>
      <c r="QCL45" s="1"/>
      <c r="QCM45" s="1"/>
      <c r="QCN45" s="1"/>
      <c r="QCO45" s="1"/>
      <c r="QCP45" s="1"/>
      <c r="QCQ45" s="1"/>
      <c r="QCR45" s="1"/>
      <c r="QCS45" s="1"/>
      <c r="QCT45" s="1"/>
      <c r="QCU45" s="1"/>
      <c r="QCV45" s="1"/>
      <c r="QCW45" s="1"/>
      <c r="QCX45" s="1"/>
      <c r="QCY45" s="1"/>
      <c r="QCZ45" s="1"/>
      <c r="QDA45" s="1"/>
      <c r="QDB45" s="1"/>
      <c r="QDC45" s="1"/>
      <c r="QDD45" s="1"/>
      <c r="QDE45" s="1"/>
      <c r="QDF45" s="1"/>
      <c r="QDG45" s="1"/>
      <c r="QDH45" s="1"/>
      <c r="QDI45" s="1"/>
      <c r="QDJ45" s="1"/>
      <c r="QDK45" s="1"/>
      <c r="QDL45" s="1"/>
      <c r="QDM45" s="1"/>
      <c r="QDN45" s="1"/>
      <c r="QDO45" s="1"/>
      <c r="QDP45" s="1"/>
      <c r="QDQ45" s="1"/>
      <c r="QDR45" s="1"/>
      <c r="QDS45" s="1"/>
      <c r="QDT45" s="1"/>
      <c r="QDU45" s="1"/>
      <c r="QDV45" s="1"/>
      <c r="QDW45" s="1"/>
      <c r="QDX45" s="1"/>
      <c r="QDY45" s="1"/>
      <c r="QDZ45" s="1"/>
      <c r="QEA45" s="1"/>
      <c r="QEB45" s="1"/>
      <c r="QEC45" s="1"/>
      <c r="QED45" s="1"/>
      <c r="QEE45" s="1"/>
      <c r="QEF45" s="1"/>
      <c r="QEG45" s="1"/>
      <c r="QEH45" s="1"/>
      <c r="QEI45" s="1"/>
      <c r="QEJ45" s="1"/>
      <c r="QEK45" s="1"/>
      <c r="QEL45" s="1"/>
      <c r="QEM45" s="1"/>
      <c r="QEN45" s="1"/>
      <c r="QEO45" s="1"/>
      <c r="QEP45" s="1"/>
      <c r="QEQ45" s="1"/>
      <c r="QER45" s="1"/>
      <c r="QES45" s="1"/>
      <c r="QET45" s="1"/>
      <c r="QEU45" s="1"/>
      <c r="QEV45" s="1"/>
      <c r="QEW45" s="1"/>
      <c r="QEX45" s="1"/>
      <c r="QEY45" s="1"/>
      <c r="QEZ45" s="1"/>
      <c r="QFA45" s="1"/>
      <c r="QFB45" s="1"/>
      <c r="QFC45" s="1"/>
      <c r="QFD45" s="1"/>
      <c r="QFE45" s="1"/>
      <c r="QFF45" s="1"/>
      <c r="QFG45" s="1"/>
      <c r="QFH45" s="1"/>
      <c r="QFI45" s="1"/>
      <c r="QFJ45" s="1"/>
      <c r="QFK45" s="1"/>
      <c r="QFL45" s="1"/>
      <c r="QFM45" s="1"/>
      <c r="QFN45" s="1"/>
      <c r="QFO45" s="1"/>
      <c r="QFP45" s="1"/>
      <c r="QFQ45" s="1"/>
      <c r="QFR45" s="1"/>
      <c r="QFS45" s="1"/>
      <c r="QFT45" s="1"/>
      <c r="QFU45" s="1"/>
      <c r="QFV45" s="1"/>
      <c r="QFW45" s="1"/>
      <c r="QFX45" s="1"/>
      <c r="QFY45" s="1"/>
      <c r="QFZ45" s="1"/>
      <c r="QGA45" s="1"/>
      <c r="QGB45" s="1"/>
      <c r="QGC45" s="1"/>
      <c r="QGD45" s="1"/>
      <c r="QGE45" s="1"/>
      <c r="QGF45" s="1"/>
      <c r="QGG45" s="1"/>
      <c r="QGH45" s="1"/>
      <c r="QGI45" s="1"/>
      <c r="QGJ45" s="1"/>
      <c r="QGK45" s="1"/>
      <c r="QGL45" s="1"/>
      <c r="QGM45" s="1"/>
      <c r="QGN45" s="1"/>
      <c r="QGO45" s="1"/>
      <c r="QGP45" s="1"/>
      <c r="QGQ45" s="1"/>
      <c r="QGR45" s="1"/>
      <c r="QGS45" s="1"/>
      <c r="QGT45" s="1"/>
      <c r="QGU45" s="1"/>
      <c r="QGV45" s="1"/>
      <c r="QGW45" s="1"/>
      <c r="QGX45" s="1"/>
      <c r="QGY45" s="1"/>
      <c r="QGZ45" s="1"/>
      <c r="QHA45" s="1"/>
      <c r="QHB45" s="1"/>
      <c r="QHC45" s="1"/>
      <c r="QHD45" s="1"/>
      <c r="QHE45" s="1"/>
      <c r="QHF45" s="1"/>
      <c r="QHG45" s="1"/>
      <c r="QHH45" s="1"/>
      <c r="QHI45" s="1"/>
      <c r="QHJ45" s="1"/>
      <c r="QHK45" s="1"/>
      <c r="QHL45" s="1"/>
      <c r="QHM45" s="1"/>
      <c r="QHN45" s="1"/>
      <c r="QHO45" s="1"/>
      <c r="QHP45" s="1"/>
      <c r="QHQ45" s="1"/>
      <c r="QHR45" s="1"/>
      <c r="QHS45" s="1"/>
      <c r="QHT45" s="1"/>
      <c r="QHU45" s="1"/>
      <c r="QHV45" s="1"/>
      <c r="QHW45" s="1"/>
      <c r="QHX45" s="1"/>
      <c r="QHY45" s="1"/>
      <c r="QHZ45" s="1"/>
      <c r="QIA45" s="1"/>
      <c r="QIB45" s="1"/>
      <c r="QIC45" s="1"/>
      <c r="QID45" s="1"/>
      <c r="QIE45" s="1"/>
      <c r="QIF45" s="1"/>
      <c r="QIG45" s="1"/>
      <c r="QIH45" s="1"/>
      <c r="QII45" s="1"/>
      <c r="QIJ45" s="1"/>
      <c r="QIK45" s="1"/>
      <c r="QIL45" s="1"/>
      <c r="QIM45" s="1"/>
      <c r="QIN45" s="1"/>
      <c r="QIO45" s="1"/>
      <c r="QIP45" s="1"/>
      <c r="QIQ45" s="1"/>
      <c r="QIR45" s="1"/>
      <c r="QIS45" s="1"/>
      <c r="QIT45" s="1"/>
      <c r="QIU45" s="1"/>
      <c r="QIV45" s="1"/>
      <c r="QIW45" s="1"/>
      <c r="QIX45" s="1"/>
      <c r="QIY45" s="1"/>
      <c r="QIZ45" s="1"/>
      <c r="QJA45" s="1"/>
      <c r="QJB45" s="1"/>
      <c r="QJC45" s="1"/>
      <c r="QJD45" s="1"/>
      <c r="QJE45" s="1"/>
      <c r="QJF45" s="1"/>
      <c r="QJG45" s="1"/>
      <c r="QJH45" s="1"/>
      <c r="QJI45" s="1"/>
      <c r="QJJ45" s="1"/>
      <c r="QJK45" s="1"/>
      <c r="QJL45" s="1"/>
      <c r="QJM45" s="1"/>
      <c r="QJN45" s="1"/>
      <c r="QJO45" s="1"/>
      <c r="QJP45" s="1"/>
      <c r="QJQ45" s="1"/>
      <c r="QJR45" s="1"/>
      <c r="QJS45" s="1"/>
      <c r="QJT45" s="1"/>
      <c r="QJU45" s="1"/>
      <c r="QJV45" s="1"/>
      <c r="QJW45" s="1"/>
      <c r="QJX45" s="1"/>
      <c r="QJY45" s="1"/>
      <c r="QJZ45" s="1"/>
      <c r="QKA45" s="1"/>
      <c r="QKB45" s="1"/>
      <c r="QKC45" s="1"/>
      <c r="QKD45" s="1"/>
      <c r="QKE45" s="1"/>
      <c r="QKF45" s="1"/>
      <c r="QKG45" s="1"/>
      <c r="QKH45" s="1"/>
      <c r="QKI45" s="1"/>
      <c r="QKJ45" s="1"/>
      <c r="QKK45" s="1"/>
      <c r="QKL45" s="1"/>
      <c r="QKM45" s="1"/>
      <c r="QKN45" s="1"/>
      <c r="QKO45" s="1"/>
      <c r="QKP45" s="1"/>
      <c r="QKQ45" s="1"/>
      <c r="QKR45" s="1"/>
      <c r="QKS45" s="1"/>
      <c r="QKT45" s="1"/>
      <c r="QKU45" s="1"/>
      <c r="QKV45" s="1"/>
      <c r="QKW45" s="1"/>
      <c r="QKX45" s="1"/>
      <c r="QKY45" s="1"/>
      <c r="QKZ45" s="1"/>
      <c r="QLA45" s="1"/>
      <c r="QLB45" s="1"/>
      <c r="QLC45" s="1"/>
      <c r="QLD45" s="1"/>
      <c r="QLE45" s="1"/>
      <c r="QLF45" s="1"/>
      <c r="QLG45" s="1"/>
      <c r="QLH45" s="1"/>
      <c r="QLI45" s="1"/>
      <c r="QLJ45" s="1"/>
      <c r="QLK45" s="1"/>
      <c r="QLL45" s="1"/>
      <c r="QLM45" s="1"/>
      <c r="QLN45" s="1"/>
      <c r="QLO45" s="1"/>
      <c r="QLP45" s="1"/>
      <c r="QLQ45" s="1"/>
      <c r="QLR45" s="1"/>
      <c r="QLS45" s="1"/>
      <c r="QLT45" s="1"/>
      <c r="QLU45" s="1"/>
      <c r="QLV45" s="1"/>
      <c r="QLW45" s="1"/>
      <c r="QLX45" s="1"/>
      <c r="QLY45" s="1"/>
      <c r="QLZ45" s="1"/>
      <c r="QMA45" s="1"/>
      <c r="QMB45" s="1"/>
      <c r="QMC45" s="1"/>
      <c r="QMD45" s="1"/>
      <c r="QME45" s="1"/>
      <c r="QMF45" s="1"/>
      <c r="QMG45" s="1"/>
      <c r="QMH45" s="1"/>
      <c r="QMI45" s="1"/>
      <c r="QMJ45" s="1"/>
      <c r="QMK45" s="1"/>
      <c r="QML45" s="1"/>
      <c r="QMM45" s="1"/>
      <c r="QMN45" s="1"/>
      <c r="QMO45" s="1"/>
      <c r="QMP45" s="1"/>
      <c r="QMQ45" s="1"/>
      <c r="QMR45" s="1"/>
      <c r="QMS45" s="1"/>
      <c r="QMT45" s="1"/>
      <c r="QMU45" s="1"/>
      <c r="QMV45" s="1"/>
      <c r="QMW45" s="1"/>
      <c r="QMX45" s="1"/>
      <c r="QMY45" s="1"/>
      <c r="QMZ45" s="1"/>
      <c r="QNA45" s="1"/>
      <c r="QNB45" s="1"/>
      <c r="QNC45" s="1"/>
      <c r="QND45" s="1"/>
      <c r="QNE45" s="1"/>
      <c r="QNF45" s="1"/>
      <c r="QNG45" s="1"/>
      <c r="QNH45" s="1"/>
      <c r="QNI45" s="1"/>
      <c r="QNJ45" s="1"/>
      <c r="QNK45" s="1"/>
      <c r="QNL45" s="1"/>
      <c r="QNM45" s="1"/>
      <c r="QNN45" s="1"/>
      <c r="QNO45" s="1"/>
      <c r="QNP45" s="1"/>
      <c r="QNQ45" s="1"/>
      <c r="QNR45" s="1"/>
      <c r="QNS45" s="1"/>
      <c r="QNT45" s="1"/>
      <c r="QNU45" s="1"/>
      <c r="QNV45" s="1"/>
      <c r="QNW45" s="1"/>
      <c r="QNX45" s="1"/>
      <c r="QNY45" s="1"/>
      <c r="QNZ45" s="1"/>
      <c r="QOA45" s="1"/>
      <c r="QOB45" s="1"/>
      <c r="QOC45" s="1"/>
      <c r="QOD45" s="1"/>
      <c r="QOE45" s="1"/>
      <c r="QOF45" s="1"/>
      <c r="QOG45" s="1"/>
      <c r="QOH45" s="1"/>
      <c r="QOI45" s="1"/>
      <c r="QOJ45" s="1"/>
      <c r="QOK45" s="1"/>
      <c r="QOL45" s="1"/>
      <c r="QOM45" s="1"/>
      <c r="QON45" s="1"/>
      <c r="QOO45" s="1"/>
      <c r="QOP45" s="1"/>
      <c r="QOQ45" s="1"/>
      <c r="QOR45" s="1"/>
      <c r="QOS45" s="1"/>
      <c r="QOT45" s="1"/>
      <c r="QOU45" s="1"/>
      <c r="QOV45" s="1"/>
      <c r="QOW45" s="1"/>
      <c r="QOX45" s="1"/>
      <c r="QOY45" s="1"/>
      <c r="QOZ45" s="1"/>
      <c r="QPA45" s="1"/>
      <c r="QPB45" s="1"/>
      <c r="QPC45" s="1"/>
      <c r="QPD45" s="1"/>
      <c r="QPE45" s="1"/>
      <c r="QPF45" s="1"/>
      <c r="QPG45" s="1"/>
      <c r="QPH45" s="1"/>
      <c r="QPI45" s="1"/>
      <c r="QPJ45" s="1"/>
      <c r="QPK45" s="1"/>
      <c r="QPL45" s="1"/>
      <c r="QPM45" s="1"/>
      <c r="QPN45" s="1"/>
      <c r="QPO45" s="1"/>
      <c r="QPP45" s="1"/>
      <c r="QPQ45" s="1"/>
      <c r="QPR45" s="1"/>
      <c r="QPS45" s="1"/>
      <c r="QPT45" s="1"/>
      <c r="QPU45" s="1"/>
      <c r="QPV45" s="1"/>
      <c r="QPW45" s="1"/>
      <c r="QPX45" s="1"/>
      <c r="QPY45" s="1"/>
      <c r="QPZ45" s="1"/>
      <c r="QQA45" s="1"/>
      <c r="QQB45" s="1"/>
      <c r="QQC45" s="1"/>
      <c r="QQD45" s="1"/>
      <c r="QQE45" s="1"/>
      <c r="QQF45" s="1"/>
      <c r="QQG45" s="1"/>
      <c r="QQH45" s="1"/>
      <c r="QQI45" s="1"/>
      <c r="QQJ45" s="1"/>
      <c r="QQK45" s="1"/>
      <c r="QQL45" s="1"/>
      <c r="QQM45" s="1"/>
      <c r="QQN45" s="1"/>
      <c r="QQO45" s="1"/>
      <c r="QQP45" s="1"/>
      <c r="QQQ45" s="1"/>
      <c r="QQR45" s="1"/>
      <c r="QQS45" s="1"/>
      <c r="QQT45" s="1"/>
      <c r="QQU45" s="1"/>
      <c r="QQV45" s="1"/>
      <c r="QQW45" s="1"/>
      <c r="QQX45" s="1"/>
      <c r="QQY45" s="1"/>
      <c r="QQZ45" s="1"/>
      <c r="QRA45" s="1"/>
      <c r="QRB45" s="1"/>
      <c r="QRC45" s="1"/>
      <c r="QRD45" s="1"/>
      <c r="QRE45" s="1"/>
      <c r="QRF45" s="1"/>
      <c r="QRG45" s="1"/>
      <c r="QRH45" s="1"/>
      <c r="QRI45" s="1"/>
      <c r="QRJ45" s="1"/>
      <c r="QRK45" s="1"/>
      <c r="QRL45" s="1"/>
      <c r="QRM45" s="1"/>
      <c r="QRN45" s="1"/>
      <c r="QRO45" s="1"/>
      <c r="QRP45" s="1"/>
      <c r="QRQ45" s="1"/>
      <c r="QRR45" s="1"/>
      <c r="QRS45" s="1"/>
      <c r="QRT45" s="1"/>
      <c r="QRU45" s="1"/>
      <c r="QRV45" s="1"/>
      <c r="QRW45" s="1"/>
      <c r="QRX45" s="1"/>
      <c r="QRY45" s="1"/>
      <c r="QRZ45" s="1"/>
      <c r="QSA45" s="1"/>
      <c r="QSB45" s="1"/>
      <c r="QSC45" s="1"/>
      <c r="QSD45" s="1"/>
      <c r="QSE45" s="1"/>
      <c r="QSF45" s="1"/>
      <c r="QSG45" s="1"/>
      <c r="QSH45" s="1"/>
      <c r="QSI45" s="1"/>
      <c r="QSJ45" s="1"/>
      <c r="QSK45" s="1"/>
      <c r="QSL45" s="1"/>
      <c r="QSM45" s="1"/>
      <c r="QSN45" s="1"/>
      <c r="QSO45" s="1"/>
      <c r="QSP45" s="1"/>
      <c r="QSQ45" s="1"/>
      <c r="QSR45" s="1"/>
      <c r="QSS45" s="1"/>
      <c r="QST45" s="1"/>
      <c r="QSU45" s="1"/>
      <c r="QSV45" s="1"/>
      <c r="QSW45" s="1"/>
      <c r="QSX45" s="1"/>
      <c r="QSY45" s="1"/>
      <c r="QSZ45" s="1"/>
      <c r="QTA45" s="1"/>
      <c r="QTB45" s="1"/>
      <c r="QTC45" s="1"/>
      <c r="QTD45" s="1"/>
      <c r="QTE45" s="1"/>
      <c r="QTF45" s="1"/>
      <c r="QTG45" s="1"/>
      <c r="QTH45" s="1"/>
      <c r="QTI45" s="1"/>
      <c r="QTJ45" s="1"/>
      <c r="QTK45" s="1"/>
      <c r="QTL45" s="1"/>
      <c r="QTM45" s="1"/>
      <c r="QTN45" s="1"/>
      <c r="QTO45" s="1"/>
      <c r="QTP45" s="1"/>
      <c r="QTQ45" s="1"/>
      <c r="QTR45" s="1"/>
      <c r="QTS45" s="1"/>
      <c r="QTT45" s="1"/>
      <c r="QTU45" s="1"/>
      <c r="QTV45" s="1"/>
      <c r="QTW45" s="1"/>
      <c r="QTX45" s="1"/>
      <c r="QTY45" s="1"/>
      <c r="QTZ45" s="1"/>
      <c r="QUA45" s="1"/>
      <c r="QUB45" s="1"/>
      <c r="QUC45" s="1"/>
      <c r="QUD45" s="1"/>
      <c r="QUE45" s="1"/>
      <c r="QUF45" s="1"/>
      <c r="QUG45" s="1"/>
      <c r="QUH45" s="1"/>
      <c r="QUI45" s="1"/>
      <c r="QUJ45" s="1"/>
      <c r="QUK45" s="1"/>
      <c r="QUL45" s="1"/>
      <c r="QUM45" s="1"/>
      <c r="QUN45" s="1"/>
      <c r="QUO45" s="1"/>
      <c r="QUP45" s="1"/>
      <c r="QUQ45" s="1"/>
      <c r="QUR45" s="1"/>
      <c r="QUS45" s="1"/>
      <c r="QUT45" s="1"/>
      <c r="QUU45" s="1"/>
      <c r="QUV45" s="1"/>
      <c r="QUW45" s="1"/>
      <c r="QUX45" s="1"/>
      <c r="QUY45" s="1"/>
      <c r="QUZ45" s="1"/>
      <c r="QVA45" s="1"/>
      <c r="QVB45" s="1"/>
      <c r="QVC45" s="1"/>
      <c r="QVD45" s="1"/>
      <c r="QVE45" s="1"/>
      <c r="QVF45" s="1"/>
      <c r="QVG45" s="1"/>
      <c r="QVH45" s="1"/>
      <c r="QVI45" s="1"/>
      <c r="QVJ45" s="1"/>
      <c r="QVK45" s="1"/>
      <c r="QVL45" s="1"/>
      <c r="QVM45" s="1"/>
      <c r="QVN45" s="1"/>
      <c r="QVO45" s="1"/>
      <c r="QVP45" s="1"/>
      <c r="QVQ45" s="1"/>
      <c r="QVR45" s="1"/>
      <c r="QVS45" s="1"/>
      <c r="QVT45" s="1"/>
      <c r="QVU45" s="1"/>
      <c r="QVV45" s="1"/>
      <c r="QVW45" s="1"/>
      <c r="QVX45" s="1"/>
      <c r="QVY45" s="1"/>
      <c r="QVZ45" s="1"/>
      <c r="QWA45" s="1"/>
      <c r="QWB45" s="1"/>
      <c r="QWC45" s="1"/>
      <c r="QWD45" s="1"/>
      <c r="QWE45" s="1"/>
      <c r="QWF45" s="1"/>
      <c r="QWG45" s="1"/>
      <c r="QWH45" s="1"/>
      <c r="QWI45" s="1"/>
      <c r="QWJ45" s="1"/>
      <c r="QWK45" s="1"/>
      <c r="QWL45" s="1"/>
      <c r="QWM45" s="1"/>
      <c r="QWN45" s="1"/>
      <c r="QWO45" s="1"/>
      <c r="QWP45" s="1"/>
      <c r="QWQ45" s="1"/>
      <c r="QWR45" s="1"/>
      <c r="QWS45" s="1"/>
      <c r="QWT45" s="1"/>
      <c r="QWU45" s="1"/>
      <c r="QWV45" s="1"/>
      <c r="QWW45" s="1"/>
      <c r="QWX45" s="1"/>
      <c r="QWY45" s="1"/>
      <c r="QWZ45" s="1"/>
      <c r="QXA45" s="1"/>
      <c r="QXB45" s="1"/>
      <c r="QXC45" s="1"/>
      <c r="QXD45" s="1"/>
      <c r="QXE45" s="1"/>
      <c r="QXF45" s="1"/>
      <c r="QXG45" s="1"/>
      <c r="QXH45" s="1"/>
      <c r="QXI45" s="1"/>
      <c r="QXJ45" s="1"/>
      <c r="QXK45" s="1"/>
      <c r="QXL45" s="1"/>
      <c r="QXM45" s="1"/>
      <c r="QXN45" s="1"/>
      <c r="QXO45" s="1"/>
      <c r="QXP45" s="1"/>
      <c r="QXQ45" s="1"/>
      <c r="QXR45" s="1"/>
      <c r="QXS45" s="1"/>
      <c r="QXT45" s="1"/>
      <c r="QXU45" s="1"/>
      <c r="QXV45" s="1"/>
      <c r="QXW45" s="1"/>
      <c r="QXX45" s="1"/>
      <c r="QXY45" s="1"/>
      <c r="QXZ45" s="1"/>
      <c r="QYA45" s="1"/>
      <c r="QYB45" s="1"/>
      <c r="QYC45" s="1"/>
      <c r="QYD45" s="1"/>
      <c r="QYE45" s="1"/>
      <c r="QYF45" s="1"/>
      <c r="QYG45" s="1"/>
      <c r="QYH45" s="1"/>
      <c r="QYI45" s="1"/>
      <c r="QYJ45" s="1"/>
      <c r="QYK45" s="1"/>
      <c r="QYL45" s="1"/>
      <c r="QYM45" s="1"/>
      <c r="QYN45" s="1"/>
      <c r="QYO45" s="1"/>
      <c r="QYP45" s="1"/>
      <c r="QYQ45" s="1"/>
      <c r="QYR45" s="1"/>
      <c r="QYS45" s="1"/>
      <c r="QYT45" s="1"/>
      <c r="QYU45" s="1"/>
      <c r="QYV45" s="1"/>
      <c r="QYW45" s="1"/>
      <c r="QYX45" s="1"/>
      <c r="QYY45" s="1"/>
      <c r="QYZ45" s="1"/>
      <c r="QZA45" s="1"/>
      <c r="QZB45" s="1"/>
      <c r="QZC45" s="1"/>
      <c r="QZD45" s="1"/>
      <c r="QZE45" s="1"/>
      <c r="QZF45" s="1"/>
      <c r="QZG45" s="1"/>
      <c r="QZH45" s="1"/>
      <c r="QZI45" s="1"/>
      <c r="QZJ45" s="1"/>
      <c r="QZK45" s="1"/>
      <c r="QZL45" s="1"/>
      <c r="QZM45" s="1"/>
      <c r="QZN45" s="1"/>
      <c r="QZO45" s="1"/>
      <c r="QZP45" s="1"/>
      <c r="QZQ45" s="1"/>
      <c r="QZR45" s="1"/>
      <c r="QZS45" s="1"/>
      <c r="QZT45" s="1"/>
      <c r="QZU45" s="1"/>
      <c r="QZV45" s="1"/>
      <c r="QZW45" s="1"/>
      <c r="QZX45" s="1"/>
      <c r="QZY45" s="1"/>
      <c r="QZZ45" s="1"/>
      <c r="RAA45" s="1"/>
      <c r="RAB45" s="1"/>
      <c r="RAC45" s="1"/>
      <c r="RAD45" s="1"/>
      <c r="RAE45" s="1"/>
      <c r="RAF45" s="1"/>
      <c r="RAG45" s="1"/>
      <c r="RAH45" s="1"/>
      <c r="RAI45" s="1"/>
      <c r="RAJ45" s="1"/>
      <c r="RAK45" s="1"/>
      <c r="RAL45" s="1"/>
      <c r="RAM45" s="1"/>
      <c r="RAN45" s="1"/>
      <c r="RAO45" s="1"/>
      <c r="RAP45" s="1"/>
      <c r="RAQ45" s="1"/>
      <c r="RAR45" s="1"/>
      <c r="RAS45" s="1"/>
      <c r="RAT45" s="1"/>
      <c r="RAU45" s="1"/>
      <c r="RAV45" s="1"/>
      <c r="RAW45" s="1"/>
      <c r="RAX45" s="1"/>
      <c r="RAY45" s="1"/>
      <c r="RAZ45" s="1"/>
      <c r="RBA45" s="1"/>
      <c r="RBB45" s="1"/>
      <c r="RBC45" s="1"/>
      <c r="RBD45" s="1"/>
      <c r="RBE45" s="1"/>
      <c r="RBF45" s="1"/>
      <c r="RBG45" s="1"/>
      <c r="RBH45" s="1"/>
      <c r="RBI45" s="1"/>
      <c r="RBJ45" s="1"/>
      <c r="RBK45" s="1"/>
      <c r="RBL45" s="1"/>
      <c r="RBM45" s="1"/>
      <c r="RBN45" s="1"/>
      <c r="RBO45" s="1"/>
      <c r="RBP45" s="1"/>
      <c r="RBQ45" s="1"/>
      <c r="RBR45" s="1"/>
      <c r="RBS45" s="1"/>
      <c r="RBT45" s="1"/>
      <c r="RBU45" s="1"/>
      <c r="RBV45" s="1"/>
      <c r="RBW45" s="1"/>
      <c r="RBX45" s="1"/>
      <c r="RBY45" s="1"/>
      <c r="RBZ45" s="1"/>
      <c r="RCA45" s="1"/>
      <c r="RCB45" s="1"/>
      <c r="RCC45" s="1"/>
      <c r="RCD45" s="1"/>
      <c r="RCE45" s="1"/>
      <c r="RCF45" s="1"/>
      <c r="RCG45" s="1"/>
      <c r="RCH45" s="1"/>
      <c r="RCI45" s="1"/>
      <c r="RCJ45" s="1"/>
      <c r="RCK45" s="1"/>
      <c r="RCL45" s="1"/>
      <c r="RCM45" s="1"/>
      <c r="RCN45" s="1"/>
      <c r="RCO45" s="1"/>
      <c r="RCP45" s="1"/>
      <c r="RCQ45" s="1"/>
      <c r="RCR45" s="1"/>
      <c r="RCS45" s="1"/>
      <c r="RCT45" s="1"/>
      <c r="RCU45" s="1"/>
      <c r="RCV45" s="1"/>
      <c r="RCW45" s="1"/>
      <c r="RCX45" s="1"/>
      <c r="RCY45" s="1"/>
      <c r="RCZ45" s="1"/>
      <c r="RDA45" s="1"/>
      <c r="RDB45" s="1"/>
      <c r="RDC45" s="1"/>
      <c r="RDD45" s="1"/>
      <c r="RDE45" s="1"/>
      <c r="RDF45" s="1"/>
      <c r="RDG45" s="1"/>
      <c r="RDH45" s="1"/>
      <c r="RDI45" s="1"/>
      <c r="RDJ45" s="1"/>
      <c r="RDK45" s="1"/>
      <c r="RDL45" s="1"/>
      <c r="RDM45" s="1"/>
      <c r="RDN45" s="1"/>
      <c r="RDO45" s="1"/>
      <c r="RDP45" s="1"/>
      <c r="RDQ45" s="1"/>
      <c r="RDR45" s="1"/>
      <c r="RDS45" s="1"/>
      <c r="RDT45" s="1"/>
      <c r="RDU45" s="1"/>
      <c r="RDV45" s="1"/>
      <c r="RDW45" s="1"/>
      <c r="RDX45" s="1"/>
      <c r="RDY45" s="1"/>
      <c r="RDZ45" s="1"/>
      <c r="REA45" s="1"/>
      <c r="REB45" s="1"/>
      <c r="REC45" s="1"/>
      <c r="RED45" s="1"/>
      <c r="REE45" s="1"/>
      <c r="REF45" s="1"/>
      <c r="REG45" s="1"/>
      <c r="REH45" s="1"/>
      <c r="REI45" s="1"/>
      <c r="REJ45" s="1"/>
      <c r="REK45" s="1"/>
      <c r="REL45" s="1"/>
      <c r="REM45" s="1"/>
      <c r="REN45" s="1"/>
      <c r="REO45" s="1"/>
      <c r="REP45" s="1"/>
      <c r="REQ45" s="1"/>
      <c r="RER45" s="1"/>
      <c r="RES45" s="1"/>
      <c r="RET45" s="1"/>
      <c r="REU45" s="1"/>
      <c r="REV45" s="1"/>
      <c r="REW45" s="1"/>
      <c r="REX45" s="1"/>
      <c r="REY45" s="1"/>
      <c r="REZ45" s="1"/>
      <c r="RFA45" s="1"/>
      <c r="RFB45" s="1"/>
      <c r="RFC45" s="1"/>
      <c r="RFD45" s="1"/>
      <c r="RFE45" s="1"/>
      <c r="RFF45" s="1"/>
      <c r="RFG45" s="1"/>
      <c r="RFH45" s="1"/>
      <c r="RFI45" s="1"/>
      <c r="RFJ45" s="1"/>
      <c r="RFK45" s="1"/>
      <c r="RFL45" s="1"/>
      <c r="RFM45" s="1"/>
      <c r="RFN45" s="1"/>
      <c r="RFO45" s="1"/>
      <c r="RFP45" s="1"/>
      <c r="RFQ45" s="1"/>
      <c r="RFR45" s="1"/>
      <c r="RFS45" s="1"/>
      <c r="RFT45" s="1"/>
      <c r="RFU45" s="1"/>
      <c r="RFV45" s="1"/>
      <c r="RFW45" s="1"/>
      <c r="RFX45" s="1"/>
      <c r="RFY45" s="1"/>
      <c r="RFZ45" s="1"/>
      <c r="RGA45" s="1"/>
      <c r="RGB45" s="1"/>
      <c r="RGC45" s="1"/>
      <c r="RGD45" s="1"/>
      <c r="RGE45" s="1"/>
      <c r="RGF45" s="1"/>
      <c r="RGG45" s="1"/>
      <c r="RGH45" s="1"/>
      <c r="RGI45" s="1"/>
      <c r="RGJ45" s="1"/>
      <c r="RGK45" s="1"/>
      <c r="RGL45" s="1"/>
      <c r="RGM45" s="1"/>
      <c r="RGN45" s="1"/>
      <c r="RGO45" s="1"/>
      <c r="RGP45" s="1"/>
      <c r="RGQ45" s="1"/>
      <c r="RGR45" s="1"/>
      <c r="RGS45" s="1"/>
      <c r="RGT45" s="1"/>
      <c r="RGU45" s="1"/>
      <c r="RGV45" s="1"/>
      <c r="RGW45" s="1"/>
      <c r="RGX45" s="1"/>
      <c r="RGY45" s="1"/>
      <c r="RGZ45" s="1"/>
      <c r="RHA45" s="1"/>
      <c r="RHB45" s="1"/>
      <c r="RHC45" s="1"/>
      <c r="RHD45" s="1"/>
      <c r="RHE45" s="1"/>
      <c r="RHF45" s="1"/>
      <c r="RHG45" s="1"/>
      <c r="RHH45" s="1"/>
      <c r="RHI45" s="1"/>
      <c r="RHJ45" s="1"/>
      <c r="RHK45" s="1"/>
      <c r="RHL45" s="1"/>
      <c r="RHM45" s="1"/>
      <c r="RHN45" s="1"/>
      <c r="RHO45" s="1"/>
      <c r="RHP45" s="1"/>
      <c r="RHQ45" s="1"/>
      <c r="RHR45" s="1"/>
      <c r="RHS45" s="1"/>
      <c r="RHT45" s="1"/>
      <c r="RHU45" s="1"/>
      <c r="RHV45" s="1"/>
      <c r="RHW45" s="1"/>
      <c r="RHX45" s="1"/>
      <c r="RHY45" s="1"/>
      <c r="RHZ45" s="1"/>
      <c r="RIA45" s="1"/>
      <c r="RIB45" s="1"/>
      <c r="RIC45" s="1"/>
      <c r="RID45" s="1"/>
      <c r="RIE45" s="1"/>
      <c r="RIF45" s="1"/>
      <c r="RIG45" s="1"/>
      <c r="RIH45" s="1"/>
      <c r="RII45" s="1"/>
      <c r="RIJ45" s="1"/>
      <c r="RIK45" s="1"/>
      <c r="RIL45" s="1"/>
      <c r="RIM45" s="1"/>
      <c r="RIN45" s="1"/>
      <c r="RIO45" s="1"/>
      <c r="RIP45" s="1"/>
      <c r="RIQ45" s="1"/>
      <c r="RIR45" s="1"/>
      <c r="RIS45" s="1"/>
      <c r="RIT45" s="1"/>
      <c r="RIU45" s="1"/>
      <c r="RIV45" s="1"/>
      <c r="RIW45" s="1"/>
      <c r="RIX45" s="1"/>
      <c r="RIY45" s="1"/>
      <c r="RIZ45" s="1"/>
      <c r="RJA45" s="1"/>
      <c r="RJB45" s="1"/>
      <c r="RJC45" s="1"/>
      <c r="RJD45" s="1"/>
      <c r="RJE45" s="1"/>
      <c r="RJF45" s="1"/>
      <c r="RJG45" s="1"/>
      <c r="RJH45" s="1"/>
      <c r="RJI45" s="1"/>
      <c r="RJJ45" s="1"/>
      <c r="RJK45" s="1"/>
      <c r="RJL45" s="1"/>
      <c r="RJM45" s="1"/>
      <c r="RJN45" s="1"/>
      <c r="RJO45" s="1"/>
      <c r="RJP45" s="1"/>
      <c r="RJQ45" s="1"/>
      <c r="RJR45" s="1"/>
      <c r="RJS45" s="1"/>
      <c r="RJT45" s="1"/>
      <c r="RJU45" s="1"/>
      <c r="RJV45" s="1"/>
      <c r="RJW45" s="1"/>
      <c r="RJX45" s="1"/>
      <c r="RJY45" s="1"/>
      <c r="RJZ45" s="1"/>
      <c r="RKA45" s="1"/>
      <c r="RKB45" s="1"/>
      <c r="RKC45" s="1"/>
      <c r="RKD45" s="1"/>
      <c r="RKE45" s="1"/>
      <c r="RKF45" s="1"/>
      <c r="RKG45" s="1"/>
      <c r="RKH45" s="1"/>
      <c r="RKI45" s="1"/>
      <c r="RKJ45" s="1"/>
      <c r="RKK45" s="1"/>
      <c r="RKL45" s="1"/>
      <c r="RKM45" s="1"/>
      <c r="RKN45" s="1"/>
      <c r="RKO45" s="1"/>
      <c r="RKP45" s="1"/>
      <c r="RKQ45" s="1"/>
      <c r="RKR45" s="1"/>
      <c r="RKS45" s="1"/>
      <c r="RKT45" s="1"/>
      <c r="RKU45" s="1"/>
      <c r="RKV45" s="1"/>
      <c r="RKW45" s="1"/>
      <c r="RKX45" s="1"/>
      <c r="RKY45" s="1"/>
      <c r="RKZ45" s="1"/>
      <c r="RLA45" s="1"/>
      <c r="RLB45" s="1"/>
      <c r="RLC45" s="1"/>
      <c r="RLD45" s="1"/>
      <c r="RLE45" s="1"/>
      <c r="RLF45" s="1"/>
      <c r="RLG45" s="1"/>
      <c r="RLH45" s="1"/>
      <c r="RLI45" s="1"/>
      <c r="RLJ45" s="1"/>
      <c r="RLK45" s="1"/>
      <c r="RLL45" s="1"/>
      <c r="RLM45" s="1"/>
      <c r="RLN45" s="1"/>
      <c r="RLO45" s="1"/>
      <c r="RLP45" s="1"/>
      <c r="RLQ45" s="1"/>
      <c r="RLR45" s="1"/>
      <c r="RLS45" s="1"/>
      <c r="RLT45" s="1"/>
      <c r="RLU45" s="1"/>
      <c r="RLV45" s="1"/>
      <c r="RLW45" s="1"/>
      <c r="RLX45" s="1"/>
      <c r="RLY45" s="1"/>
      <c r="RLZ45" s="1"/>
      <c r="RMA45" s="1"/>
      <c r="RMB45" s="1"/>
      <c r="RMC45" s="1"/>
      <c r="RMD45" s="1"/>
      <c r="RME45" s="1"/>
      <c r="RMF45" s="1"/>
      <c r="RMG45" s="1"/>
      <c r="RMH45" s="1"/>
      <c r="RMI45" s="1"/>
      <c r="RMJ45" s="1"/>
      <c r="RMK45" s="1"/>
      <c r="RML45" s="1"/>
      <c r="RMM45" s="1"/>
      <c r="RMN45" s="1"/>
      <c r="RMO45" s="1"/>
      <c r="RMP45" s="1"/>
      <c r="RMQ45" s="1"/>
      <c r="RMR45" s="1"/>
      <c r="RMS45" s="1"/>
      <c r="RMT45" s="1"/>
      <c r="RMU45" s="1"/>
      <c r="RMV45" s="1"/>
      <c r="RMW45" s="1"/>
      <c r="RMX45" s="1"/>
      <c r="RMY45" s="1"/>
      <c r="RMZ45" s="1"/>
      <c r="RNA45" s="1"/>
      <c r="RNB45" s="1"/>
      <c r="RNC45" s="1"/>
      <c r="RND45" s="1"/>
      <c r="RNE45" s="1"/>
      <c r="RNF45" s="1"/>
      <c r="RNG45" s="1"/>
      <c r="RNH45" s="1"/>
      <c r="RNI45" s="1"/>
      <c r="RNJ45" s="1"/>
      <c r="RNK45" s="1"/>
      <c r="RNL45" s="1"/>
      <c r="RNM45" s="1"/>
      <c r="RNN45" s="1"/>
      <c r="RNO45" s="1"/>
      <c r="RNP45" s="1"/>
      <c r="RNQ45" s="1"/>
      <c r="RNR45" s="1"/>
      <c r="RNS45" s="1"/>
      <c r="RNT45" s="1"/>
      <c r="RNU45" s="1"/>
      <c r="RNV45" s="1"/>
      <c r="RNW45" s="1"/>
      <c r="RNX45" s="1"/>
      <c r="RNY45" s="1"/>
      <c r="RNZ45" s="1"/>
      <c r="ROA45" s="1"/>
      <c r="ROB45" s="1"/>
      <c r="ROC45" s="1"/>
      <c r="ROD45" s="1"/>
      <c r="ROE45" s="1"/>
      <c r="ROF45" s="1"/>
      <c r="ROG45" s="1"/>
      <c r="ROH45" s="1"/>
      <c r="ROI45" s="1"/>
      <c r="ROJ45" s="1"/>
      <c r="ROK45" s="1"/>
      <c r="ROL45" s="1"/>
      <c r="ROM45" s="1"/>
      <c r="RON45" s="1"/>
      <c r="ROO45" s="1"/>
      <c r="ROP45" s="1"/>
      <c r="ROQ45" s="1"/>
      <c r="ROR45" s="1"/>
      <c r="ROS45" s="1"/>
      <c r="ROT45" s="1"/>
      <c r="ROU45" s="1"/>
      <c r="ROV45" s="1"/>
      <c r="ROW45" s="1"/>
      <c r="ROX45" s="1"/>
      <c r="ROY45" s="1"/>
      <c r="ROZ45" s="1"/>
      <c r="RPA45" s="1"/>
      <c r="RPB45" s="1"/>
      <c r="RPC45" s="1"/>
      <c r="RPD45" s="1"/>
      <c r="RPE45" s="1"/>
      <c r="RPF45" s="1"/>
      <c r="RPG45" s="1"/>
      <c r="RPH45" s="1"/>
      <c r="RPI45" s="1"/>
      <c r="RPJ45" s="1"/>
      <c r="RPK45" s="1"/>
      <c r="RPL45" s="1"/>
      <c r="RPM45" s="1"/>
      <c r="RPN45" s="1"/>
      <c r="RPO45" s="1"/>
      <c r="RPP45" s="1"/>
      <c r="RPQ45" s="1"/>
      <c r="RPR45" s="1"/>
      <c r="RPS45" s="1"/>
      <c r="RPT45" s="1"/>
      <c r="RPU45" s="1"/>
      <c r="RPV45" s="1"/>
      <c r="RPW45" s="1"/>
      <c r="RPX45" s="1"/>
      <c r="RPY45" s="1"/>
      <c r="RPZ45" s="1"/>
      <c r="RQA45" s="1"/>
      <c r="RQB45" s="1"/>
      <c r="RQC45" s="1"/>
      <c r="RQD45" s="1"/>
      <c r="RQE45" s="1"/>
      <c r="RQF45" s="1"/>
      <c r="RQG45" s="1"/>
      <c r="RQH45" s="1"/>
      <c r="RQI45" s="1"/>
      <c r="RQJ45" s="1"/>
      <c r="RQK45" s="1"/>
      <c r="RQL45" s="1"/>
      <c r="RQM45" s="1"/>
      <c r="RQN45" s="1"/>
      <c r="RQO45" s="1"/>
      <c r="RQP45" s="1"/>
      <c r="RQQ45" s="1"/>
      <c r="RQR45" s="1"/>
      <c r="RQS45" s="1"/>
      <c r="RQT45" s="1"/>
      <c r="RQU45" s="1"/>
      <c r="RQV45" s="1"/>
      <c r="RQW45" s="1"/>
      <c r="RQX45" s="1"/>
      <c r="RQY45" s="1"/>
      <c r="RQZ45" s="1"/>
      <c r="RRA45" s="1"/>
      <c r="RRB45" s="1"/>
      <c r="RRC45" s="1"/>
      <c r="RRD45" s="1"/>
      <c r="RRE45" s="1"/>
      <c r="RRF45" s="1"/>
      <c r="RRG45" s="1"/>
      <c r="RRH45" s="1"/>
      <c r="RRI45" s="1"/>
      <c r="RRJ45" s="1"/>
      <c r="RRK45" s="1"/>
      <c r="RRL45" s="1"/>
      <c r="RRM45" s="1"/>
      <c r="RRN45" s="1"/>
      <c r="RRO45" s="1"/>
      <c r="RRP45" s="1"/>
      <c r="RRQ45" s="1"/>
      <c r="RRR45" s="1"/>
      <c r="RRS45" s="1"/>
      <c r="RRT45" s="1"/>
      <c r="RRU45" s="1"/>
      <c r="RRV45" s="1"/>
      <c r="RRW45" s="1"/>
      <c r="RRX45" s="1"/>
      <c r="RRY45" s="1"/>
      <c r="RRZ45" s="1"/>
      <c r="RSA45" s="1"/>
      <c r="RSB45" s="1"/>
      <c r="RSC45" s="1"/>
      <c r="RSD45" s="1"/>
      <c r="RSE45" s="1"/>
      <c r="RSF45" s="1"/>
      <c r="RSG45" s="1"/>
      <c r="RSH45" s="1"/>
      <c r="RSI45" s="1"/>
      <c r="RSJ45" s="1"/>
      <c r="RSK45" s="1"/>
      <c r="RSL45" s="1"/>
      <c r="RSM45" s="1"/>
      <c r="RSN45" s="1"/>
      <c r="RSO45" s="1"/>
      <c r="RSP45" s="1"/>
      <c r="RSQ45" s="1"/>
      <c r="RSR45" s="1"/>
      <c r="RSS45" s="1"/>
      <c r="RST45" s="1"/>
      <c r="RSU45" s="1"/>
      <c r="RSV45" s="1"/>
      <c r="RSW45" s="1"/>
      <c r="RSX45" s="1"/>
      <c r="RSY45" s="1"/>
      <c r="RSZ45" s="1"/>
      <c r="RTA45" s="1"/>
      <c r="RTB45" s="1"/>
      <c r="RTC45" s="1"/>
      <c r="RTD45" s="1"/>
      <c r="RTE45" s="1"/>
      <c r="RTF45" s="1"/>
      <c r="RTG45" s="1"/>
      <c r="RTH45" s="1"/>
      <c r="RTI45" s="1"/>
      <c r="RTJ45" s="1"/>
      <c r="RTK45" s="1"/>
      <c r="RTL45" s="1"/>
      <c r="RTM45" s="1"/>
      <c r="RTN45" s="1"/>
      <c r="RTO45" s="1"/>
      <c r="RTP45" s="1"/>
      <c r="RTQ45" s="1"/>
      <c r="RTR45" s="1"/>
      <c r="RTS45" s="1"/>
      <c r="RTT45" s="1"/>
      <c r="RTU45" s="1"/>
      <c r="RTV45" s="1"/>
      <c r="RTW45" s="1"/>
      <c r="RTX45" s="1"/>
      <c r="RTY45" s="1"/>
      <c r="RTZ45" s="1"/>
      <c r="RUA45" s="1"/>
      <c r="RUB45" s="1"/>
      <c r="RUC45" s="1"/>
      <c r="RUD45" s="1"/>
      <c r="RUE45" s="1"/>
      <c r="RUF45" s="1"/>
      <c r="RUG45" s="1"/>
      <c r="RUH45" s="1"/>
      <c r="RUI45" s="1"/>
      <c r="RUJ45" s="1"/>
      <c r="RUK45" s="1"/>
      <c r="RUL45" s="1"/>
      <c r="RUM45" s="1"/>
      <c r="RUN45" s="1"/>
      <c r="RUO45" s="1"/>
      <c r="RUP45" s="1"/>
      <c r="RUQ45" s="1"/>
      <c r="RUR45" s="1"/>
      <c r="RUS45" s="1"/>
      <c r="RUT45" s="1"/>
      <c r="RUU45" s="1"/>
      <c r="RUV45" s="1"/>
      <c r="RUW45" s="1"/>
      <c r="RUX45" s="1"/>
      <c r="RUY45" s="1"/>
      <c r="RUZ45" s="1"/>
      <c r="RVA45" s="1"/>
      <c r="RVB45" s="1"/>
      <c r="RVC45" s="1"/>
      <c r="RVD45" s="1"/>
      <c r="RVE45" s="1"/>
      <c r="RVF45" s="1"/>
      <c r="RVG45" s="1"/>
      <c r="RVH45" s="1"/>
      <c r="RVI45" s="1"/>
      <c r="RVJ45" s="1"/>
      <c r="RVK45" s="1"/>
      <c r="RVL45" s="1"/>
      <c r="RVM45" s="1"/>
      <c r="RVN45" s="1"/>
      <c r="RVO45" s="1"/>
      <c r="RVP45" s="1"/>
      <c r="RVQ45" s="1"/>
      <c r="RVR45" s="1"/>
      <c r="RVS45" s="1"/>
      <c r="RVT45" s="1"/>
      <c r="RVU45" s="1"/>
      <c r="RVV45" s="1"/>
      <c r="RVW45" s="1"/>
      <c r="RVX45" s="1"/>
      <c r="RVY45" s="1"/>
      <c r="RVZ45" s="1"/>
      <c r="RWA45" s="1"/>
      <c r="RWB45" s="1"/>
      <c r="RWC45" s="1"/>
      <c r="RWD45" s="1"/>
      <c r="RWE45" s="1"/>
      <c r="RWF45" s="1"/>
      <c r="RWG45" s="1"/>
      <c r="RWH45" s="1"/>
      <c r="RWI45" s="1"/>
      <c r="RWJ45" s="1"/>
      <c r="RWK45" s="1"/>
      <c r="RWL45" s="1"/>
      <c r="RWM45" s="1"/>
      <c r="RWN45" s="1"/>
      <c r="RWO45" s="1"/>
      <c r="RWP45" s="1"/>
      <c r="RWQ45" s="1"/>
      <c r="RWR45" s="1"/>
      <c r="RWS45" s="1"/>
      <c r="RWT45" s="1"/>
      <c r="RWU45" s="1"/>
      <c r="RWV45" s="1"/>
      <c r="RWW45" s="1"/>
      <c r="RWX45" s="1"/>
      <c r="RWY45" s="1"/>
      <c r="RWZ45" s="1"/>
      <c r="RXA45" s="1"/>
      <c r="RXB45" s="1"/>
      <c r="RXC45" s="1"/>
      <c r="RXD45" s="1"/>
      <c r="RXE45" s="1"/>
      <c r="RXF45" s="1"/>
      <c r="RXG45" s="1"/>
      <c r="RXH45" s="1"/>
      <c r="RXI45" s="1"/>
      <c r="RXJ45" s="1"/>
      <c r="RXK45" s="1"/>
      <c r="RXL45" s="1"/>
      <c r="RXM45" s="1"/>
      <c r="RXN45" s="1"/>
      <c r="RXO45" s="1"/>
      <c r="RXP45" s="1"/>
      <c r="RXQ45" s="1"/>
      <c r="RXR45" s="1"/>
      <c r="RXS45" s="1"/>
      <c r="RXT45" s="1"/>
      <c r="RXU45" s="1"/>
      <c r="RXV45" s="1"/>
      <c r="RXW45" s="1"/>
      <c r="RXX45" s="1"/>
      <c r="RXY45" s="1"/>
      <c r="RXZ45" s="1"/>
      <c r="RYA45" s="1"/>
      <c r="RYB45" s="1"/>
      <c r="RYC45" s="1"/>
      <c r="RYD45" s="1"/>
      <c r="RYE45" s="1"/>
      <c r="RYF45" s="1"/>
      <c r="RYG45" s="1"/>
      <c r="RYH45" s="1"/>
      <c r="RYI45" s="1"/>
      <c r="RYJ45" s="1"/>
      <c r="RYK45" s="1"/>
      <c r="RYL45" s="1"/>
      <c r="RYM45" s="1"/>
      <c r="RYN45" s="1"/>
      <c r="RYO45" s="1"/>
      <c r="RYP45" s="1"/>
      <c r="RYQ45" s="1"/>
      <c r="RYR45" s="1"/>
      <c r="RYS45" s="1"/>
      <c r="RYT45" s="1"/>
      <c r="RYU45" s="1"/>
      <c r="RYV45" s="1"/>
      <c r="RYW45" s="1"/>
      <c r="RYX45" s="1"/>
      <c r="RYY45" s="1"/>
      <c r="RYZ45" s="1"/>
      <c r="RZA45" s="1"/>
      <c r="RZB45" s="1"/>
      <c r="RZC45" s="1"/>
      <c r="RZD45" s="1"/>
      <c r="RZE45" s="1"/>
      <c r="RZF45" s="1"/>
      <c r="RZG45" s="1"/>
      <c r="RZH45" s="1"/>
      <c r="RZI45" s="1"/>
      <c r="RZJ45" s="1"/>
      <c r="RZK45" s="1"/>
      <c r="RZL45" s="1"/>
      <c r="RZM45" s="1"/>
      <c r="RZN45" s="1"/>
      <c r="RZO45" s="1"/>
      <c r="RZP45" s="1"/>
      <c r="RZQ45" s="1"/>
      <c r="RZR45" s="1"/>
      <c r="RZS45" s="1"/>
      <c r="RZT45" s="1"/>
      <c r="RZU45" s="1"/>
      <c r="RZV45" s="1"/>
      <c r="RZW45" s="1"/>
      <c r="RZX45" s="1"/>
      <c r="RZY45" s="1"/>
      <c r="RZZ45" s="1"/>
      <c r="SAA45" s="1"/>
      <c r="SAB45" s="1"/>
      <c r="SAC45" s="1"/>
      <c r="SAD45" s="1"/>
      <c r="SAE45" s="1"/>
      <c r="SAF45" s="1"/>
      <c r="SAG45" s="1"/>
      <c r="SAH45" s="1"/>
      <c r="SAI45" s="1"/>
      <c r="SAJ45" s="1"/>
      <c r="SAK45" s="1"/>
      <c r="SAL45" s="1"/>
      <c r="SAM45" s="1"/>
      <c r="SAN45" s="1"/>
      <c r="SAO45" s="1"/>
      <c r="SAP45" s="1"/>
      <c r="SAQ45" s="1"/>
      <c r="SAR45" s="1"/>
      <c r="SAS45" s="1"/>
      <c r="SAT45" s="1"/>
      <c r="SAU45" s="1"/>
      <c r="SAV45" s="1"/>
      <c r="SAW45" s="1"/>
      <c r="SAX45" s="1"/>
      <c r="SAY45" s="1"/>
      <c r="SAZ45" s="1"/>
      <c r="SBA45" s="1"/>
      <c r="SBB45" s="1"/>
      <c r="SBC45" s="1"/>
      <c r="SBD45" s="1"/>
      <c r="SBE45" s="1"/>
      <c r="SBF45" s="1"/>
      <c r="SBG45" s="1"/>
      <c r="SBH45" s="1"/>
      <c r="SBI45" s="1"/>
      <c r="SBJ45" s="1"/>
      <c r="SBK45" s="1"/>
      <c r="SBL45" s="1"/>
      <c r="SBM45" s="1"/>
      <c r="SBN45" s="1"/>
      <c r="SBO45" s="1"/>
      <c r="SBP45" s="1"/>
      <c r="SBQ45" s="1"/>
      <c r="SBR45" s="1"/>
      <c r="SBS45" s="1"/>
      <c r="SBT45" s="1"/>
      <c r="SBU45" s="1"/>
      <c r="SBV45" s="1"/>
      <c r="SBW45" s="1"/>
      <c r="SBX45" s="1"/>
      <c r="SBY45" s="1"/>
      <c r="SBZ45" s="1"/>
      <c r="SCA45" s="1"/>
      <c r="SCB45" s="1"/>
      <c r="SCC45" s="1"/>
      <c r="SCD45" s="1"/>
      <c r="SCE45" s="1"/>
      <c r="SCF45" s="1"/>
      <c r="SCG45" s="1"/>
      <c r="SCH45" s="1"/>
      <c r="SCI45" s="1"/>
      <c r="SCJ45" s="1"/>
      <c r="SCK45" s="1"/>
      <c r="SCL45" s="1"/>
      <c r="SCM45" s="1"/>
      <c r="SCN45" s="1"/>
      <c r="SCO45" s="1"/>
      <c r="SCP45" s="1"/>
      <c r="SCQ45" s="1"/>
      <c r="SCR45" s="1"/>
      <c r="SCS45" s="1"/>
      <c r="SCT45" s="1"/>
      <c r="SCU45" s="1"/>
      <c r="SCV45" s="1"/>
      <c r="SCW45" s="1"/>
      <c r="SCX45" s="1"/>
      <c r="SCY45" s="1"/>
      <c r="SCZ45" s="1"/>
      <c r="SDA45" s="1"/>
      <c r="SDB45" s="1"/>
      <c r="SDC45" s="1"/>
      <c r="SDD45" s="1"/>
      <c r="SDE45" s="1"/>
      <c r="SDF45" s="1"/>
      <c r="SDG45" s="1"/>
      <c r="SDH45" s="1"/>
      <c r="SDI45" s="1"/>
      <c r="SDJ45" s="1"/>
      <c r="SDK45" s="1"/>
      <c r="SDL45" s="1"/>
      <c r="SDM45" s="1"/>
      <c r="SDN45" s="1"/>
      <c r="SDO45" s="1"/>
      <c r="SDP45" s="1"/>
      <c r="SDQ45" s="1"/>
      <c r="SDR45" s="1"/>
      <c r="SDS45" s="1"/>
      <c r="SDT45" s="1"/>
      <c r="SDU45" s="1"/>
      <c r="SDV45" s="1"/>
      <c r="SDW45" s="1"/>
      <c r="SDX45" s="1"/>
      <c r="SDY45" s="1"/>
      <c r="SDZ45" s="1"/>
      <c r="SEA45" s="1"/>
      <c r="SEB45" s="1"/>
      <c r="SEC45" s="1"/>
      <c r="SED45" s="1"/>
      <c r="SEE45" s="1"/>
      <c r="SEF45" s="1"/>
      <c r="SEG45" s="1"/>
      <c r="SEH45" s="1"/>
      <c r="SEI45" s="1"/>
      <c r="SEJ45" s="1"/>
      <c r="SEK45" s="1"/>
      <c r="SEL45" s="1"/>
      <c r="SEM45" s="1"/>
      <c r="SEN45" s="1"/>
      <c r="SEO45" s="1"/>
      <c r="SEP45" s="1"/>
      <c r="SEQ45" s="1"/>
      <c r="SER45" s="1"/>
      <c r="SES45" s="1"/>
      <c r="SET45" s="1"/>
      <c r="SEU45" s="1"/>
      <c r="SEV45" s="1"/>
      <c r="SEW45" s="1"/>
      <c r="SEX45" s="1"/>
      <c r="SEY45" s="1"/>
      <c r="SEZ45" s="1"/>
      <c r="SFA45" s="1"/>
      <c r="SFB45" s="1"/>
      <c r="SFC45" s="1"/>
      <c r="SFD45" s="1"/>
      <c r="SFE45" s="1"/>
      <c r="SFF45" s="1"/>
      <c r="SFG45" s="1"/>
      <c r="SFH45" s="1"/>
      <c r="SFI45" s="1"/>
      <c r="SFJ45" s="1"/>
      <c r="SFK45" s="1"/>
      <c r="SFL45" s="1"/>
      <c r="SFM45" s="1"/>
      <c r="SFN45" s="1"/>
      <c r="SFO45" s="1"/>
      <c r="SFP45" s="1"/>
      <c r="SFQ45" s="1"/>
      <c r="SFR45" s="1"/>
      <c r="SFS45" s="1"/>
      <c r="SFT45" s="1"/>
      <c r="SFU45" s="1"/>
      <c r="SFV45" s="1"/>
      <c r="SFW45" s="1"/>
      <c r="SFX45" s="1"/>
      <c r="SFY45" s="1"/>
      <c r="SFZ45" s="1"/>
      <c r="SGA45" s="1"/>
      <c r="SGB45" s="1"/>
      <c r="SGC45" s="1"/>
      <c r="SGD45" s="1"/>
      <c r="SGE45" s="1"/>
      <c r="SGF45" s="1"/>
      <c r="SGG45" s="1"/>
      <c r="SGH45" s="1"/>
      <c r="SGI45" s="1"/>
      <c r="SGJ45" s="1"/>
      <c r="SGK45" s="1"/>
      <c r="SGL45" s="1"/>
      <c r="SGM45" s="1"/>
      <c r="SGN45" s="1"/>
      <c r="SGO45" s="1"/>
      <c r="SGP45" s="1"/>
      <c r="SGQ45" s="1"/>
      <c r="SGR45" s="1"/>
      <c r="SGS45" s="1"/>
      <c r="SGT45" s="1"/>
      <c r="SGU45" s="1"/>
      <c r="SGV45" s="1"/>
      <c r="SGW45" s="1"/>
      <c r="SGX45" s="1"/>
      <c r="SGY45" s="1"/>
      <c r="SGZ45" s="1"/>
      <c r="SHA45" s="1"/>
      <c r="SHB45" s="1"/>
      <c r="SHC45" s="1"/>
      <c r="SHD45" s="1"/>
      <c r="SHE45" s="1"/>
      <c r="SHF45" s="1"/>
      <c r="SHG45" s="1"/>
      <c r="SHH45" s="1"/>
      <c r="SHI45" s="1"/>
      <c r="SHJ45" s="1"/>
      <c r="SHK45" s="1"/>
      <c r="SHL45" s="1"/>
      <c r="SHM45" s="1"/>
      <c r="SHN45" s="1"/>
      <c r="SHO45" s="1"/>
      <c r="SHP45" s="1"/>
      <c r="SHQ45" s="1"/>
      <c r="SHR45" s="1"/>
      <c r="SHS45" s="1"/>
      <c r="SHT45" s="1"/>
      <c r="SHU45" s="1"/>
      <c r="SHV45" s="1"/>
      <c r="SHW45" s="1"/>
      <c r="SHX45" s="1"/>
      <c r="SHY45" s="1"/>
      <c r="SHZ45" s="1"/>
      <c r="SIA45" s="1"/>
      <c r="SIB45" s="1"/>
      <c r="SIC45" s="1"/>
      <c r="SID45" s="1"/>
      <c r="SIE45" s="1"/>
      <c r="SIF45" s="1"/>
      <c r="SIG45" s="1"/>
      <c r="SIH45" s="1"/>
      <c r="SII45" s="1"/>
      <c r="SIJ45" s="1"/>
      <c r="SIK45" s="1"/>
      <c r="SIL45" s="1"/>
      <c r="SIM45" s="1"/>
      <c r="SIN45" s="1"/>
      <c r="SIO45" s="1"/>
      <c r="SIP45" s="1"/>
      <c r="SIQ45" s="1"/>
      <c r="SIR45" s="1"/>
      <c r="SIS45" s="1"/>
      <c r="SIT45" s="1"/>
      <c r="SIU45" s="1"/>
      <c r="SIV45" s="1"/>
      <c r="SIW45" s="1"/>
      <c r="SIX45" s="1"/>
      <c r="SIY45" s="1"/>
      <c r="SIZ45" s="1"/>
      <c r="SJA45" s="1"/>
      <c r="SJB45" s="1"/>
      <c r="SJC45" s="1"/>
      <c r="SJD45" s="1"/>
      <c r="SJE45" s="1"/>
      <c r="SJF45" s="1"/>
      <c r="SJG45" s="1"/>
      <c r="SJH45" s="1"/>
      <c r="SJI45" s="1"/>
      <c r="SJJ45" s="1"/>
      <c r="SJK45" s="1"/>
      <c r="SJL45" s="1"/>
      <c r="SJM45" s="1"/>
      <c r="SJN45" s="1"/>
      <c r="SJO45" s="1"/>
      <c r="SJP45" s="1"/>
      <c r="SJQ45" s="1"/>
      <c r="SJR45" s="1"/>
      <c r="SJS45" s="1"/>
      <c r="SJT45" s="1"/>
      <c r="SJU45" s="1"/>
      <c r="SJV45" s="1"/>
      <c r="SJW45" s="1"/>
      <c r="SJX45" s="1"/>
      <c r="SJY45" s="1"/>
      <c r="SJZ45" s="1"/>
      <c r="SKA45" s="1"/>
      <c r="SKB45" s="1"/>
      <c r="SKC45" s="1"/>
      <c r="SKD45" s="1"/>
      <c r="SKE45" s="1"/>
      <c r="SKF45" s="1"/>
      <c r="SKG45" s="1"/>
      <c r="SKH45" s="1"/>
      <c r="SKI45" s="1"/>
      <c r="SKJ45" s="1"/>
      <c r="SKK45" s="1"/>
      <c r="SKL45" s="1"/>
      <c r="SKM45" s="1"/>
      <c r="SKN45" s="1"/>
      <c r="SKO45" s="1"/>
      <c r="SKP45" s="1"/>
      <c r="SKQ45" s="1"/>
      <c r="SKR45" s="1"/>
      <c r="SKS45" s="1"/>
      <c r="SKT45" s="1"/>
      <c r="SKU45" s="1"/>
      <c r="SKV45" s="1"/>
      <c r="SKW45" s="1"/>
      <c r="SKX45" s="1"/>
      <c r="SKY45" s="1"/>
      <c r="SKZ45" s="1"/>
      <c r="SLA45" s="1"/>
      <c r="SLB45" s="1"/>
      <c r="SLC45" s="1"/>
      <c r="SLD45" s="1"/>
      <c r="SLE45" s="1"/>
      <c r="SLF45" s="1"/>
      <c r="SLG45" s="1"/>
      <c r="SLH45" s="1"/>
      <c r="SLI45" s="1"/>
      <c r="SLJ45" s="1"/>
      <c r="SLK45" s="1"/>
      <c r="SLL45" s="1"/>
      <c r="SLM45" s="1"/>
      <c r="SLN45" s="1"/>
      <c r="SLO45" s="1"/>
      <c r="SLP45" s="1"/>
      <c r="SLQ45" s="1"/>
      <c r="SLR45" s="1"/>
      <c r="SLS45" s="1"/>
      <c r="SLT45" s="1"/>
      <c r="SLU45" s="1"/>
      <c r="SLV45" s="1"/>
      <c r="SLW45" s="1"/>
      <c r="SLX45" s="1"/>
      <c r="SLY45" s="1"/>
      <c r="SLZ45" s="1"/>
      <c r="SMA45" s="1"/>
      <c r="SMB45" s="1"/>
      <c r="SMC45" s="1"/>
      <c r="SMD45" s="1"/>
      <c r="SME45" s="1"/>
      <c r="SMF45" s="1"/>
      <c r="SMG45" s="1"/>
      <c r="SMH45" s="1"/>
      <c r="SMI45" s="1"/>
      <c r="SMJ45" s="1"/>
      <c r="SMK45" s="1"/>
      <c r="SML45" s="1"/>
      <c r="SMM45" s="1"/>
      <c r="SMN45" s="1"/>
      <c r="SMO45" s="1"/>
      <c r="SMP45" s="1"/>
      <c r="SMQ45" s="1"/>
      <c r="SMR45" s="1"/>
      <c r="SMS45" s="1"/>
      <c r="SMT45" s="1"/>
      <c r="SMU45" s="1"/>
      <c r="SMV45" s="1"/>
      <c r="SMW45" s="1"/>
      <c r="SMX45" s="1"/>
      <c r="SMY45" s="1"/>
      <c r="SMZ45" s="1"/>
      <c r="SNA45" s="1"/>
      <c r="SNB45" s="1"/>
      <c r="SNC45" s="1"/>
      <c r="SND45" s="1"/>
      <c r="SNE45" s="1"/>
      <c r="SNF45" s="1"/>
      <c r="SNG45" s="1"/>
      <c r="SNH45" s="1"/>
      <c r="SNI45" s="1"/>
      <c r="SNJ45" s="1"/>
      <c r="SNK45" s="1"/>
      <c r="SNL45" s="1"/>
      <c r="SNM45" s="1"/>
      <c r="SNN45" s="1"/>
      <c r="SNO45" s="1"/>
      <c r="SNP45" s="1"/>
      <c r="SNQ45" s="1"/>
      <c r="SNR45" s="1"/>
      <c r="SNS45" s="1"/>
      <c r="SNT45" s="1"/>
      <c r="SNU45" s="1"/>
      <c r="SNV45" s="1"/>
      <c r="SNW45" s="1"/>
      <c r="SNX45" s="1"/>
      <c r="SNY45" s="1"/>
      <c r="SNZ45" s="1"/>
      <c r="SOA45" s="1"/>
      <c r="SOB45" s="1"/>
      <c r="SOC45" s="1"/>
      <c r="SOD45" s="1"/>
      <c r="SOE45" s="1"/>
      <c r="SOF45" s="1"/>
      <c r="SOG45" s="1"/>
      <c r="SOH45" s="1"/>
      <c r="SOI45" s="1"/>
      <c r="SOJ45" s="1"/>
      <c r="SOK45" s="1"/>
      <c r="SOL45" s="1"/>
      <c r="SOM45" s="1"/>
      <c r="SON45" s="1"/>
      <c r="SOO45" s="1"/>
      <c r="SOP45" s="1"/>
      <c r="SOQ45" s="1"/>
      <c r="SOR45" s="1"/>
      <c r="SOS45" s="1"/>
      <c r="SOT45" s="1"/>
      <c r="SOU45" s="1"/>
      <c r="SOV45" s="1"/>
      <c r="SOW45" s="1"/>
      <c r="SOX45" s="1"/>
      <c r="SOY45" s="1"/>
      <c r="SOZ45" s="1"/>
      <c r="SPA45" s="1"/>
      <c r="SPB45" s="1"/>
      <c r="SPC45" s="1"/>
      <c r="SPD45" s="1"/>
      <c r="SPE45" s="1"/>
      <c r="SPF45" s="1"/>
      <c r="SPG45" s="1"/>
      <c r="SPH45" s="1"/>
      <c r="SPI45" s="1"/>
      <c r="SPJ45" s="1"/>
      <c r="SPK45" s="1"/>
      <c r="SPL45" s="1"/>
      <c r="SPM45" s="1"/>
      <c r="SPN45" s="1"/>
      <c r="SPO45" s="1"/>
      <c r="SPP45" s="1"/>
      <c r="SPQ45" s="1"/>
      <c r="SPR45" s="1"/>
      <c r="SPS45" s="1"/>
      <c r="SPT45" s="1"/>
      <c r="SPU45" s="1"/>
      <c r="SPV45" s="1"/>
      <c r="SPW45" s="1"/>
      <c r="SPX45" s="1"/>
      <c r="SPY45" s="1"/>
      <c r="SPZ45" s="1"/>
      <c r="SQA45" s="1"/>
      <c r="SQB45" s="1"/>
      <c r="SQC45" s="1"/>
      <c r="SQD45" s="1"/>
      <c r="SQE45" s="1"/>
      <c r="SQF45" s="1"/>
      <c r="SQG45" s="1"/>
      <c r="SQH45" s="1"/>
      <c r="SQI45" s="1"/>
      <c r="SQJ45" s="1"/>
      <c r="SQK45" s="1"/>
      <c r="SQL45" s="1"/>
      <c r="SQM45" s="1"/>
      <c r="SQN45" s="1"/>
      <c r="SQO45" s="1"/>
      <c r="SQP45" s="1"/>
      <c r="SQQ45" s="1"/>
      <c r="SQR45" s="1"/>
      <c r="SQS45" s="1"/>
      <c r="SQT45" s="1"/>
      <c r="SQU45" s="1"/>
      <c r="SQV45" s="1"/>
      <c r="SQW45" s="1"/>
      <c r="SQX45" s="1"/>
      <c r="SQY45" s="1"/>
      <c r="SQZ45" s="1"/>
      <c r="SRA45" s="1"/>
      <c r="SRB45" s="1"/>
      <c r="SRC45" s="1"/>
      <c r="SRD45" s="1"/>
      <c r="SRE45" s="1"/>
      <c r="SRF45" s="1"/>
      <c r="SRG45" s="1"/>
      <c r="SRH45" s="1"/>
      <c r="SRI45" s="1"/>
      <c r="SRJ45" s="1"/>
      <c r="SRK45" s="1"/>
      <c r="SRL45" s="1"/>
      <c r="SRM45" s="1"/>
      <c r="SRN45" s="1"/>
      <c r="SRO45" s="1"/>
      <c r="SRP45" s="1"/>
      <c r="SRQ45" s="1"/>
      <c r="SRR45" s="1"/>
      <c r="SRS45" s="1"/>
      <c r="SRT45" s="1"/>
      <c r="SRU45" s="1"/>
      <c r="SRV45" s="1"/>
      <c r="SRW45" s="1"/>
      <c r="SRX45" s="1"/>
      <c r="SRY45" s="1"/>
      <c r="SRZ45" s="1"/>
      <c r="SSA45" s="1"/>
      <c r="SSB45" s="1"/>
      <c r="SSC45" s="1"/>
      <c r="SSD45" s="1"/>
      <c r="SSE45" s="1"/>
      <c r="SSF45" s="1"/>
      <c r="SSG45" s="1"/>
      <c r="SSH45" s="1"/>
      <c r="SSI45" s="1"/>
      <c r="SSJ45" s="1"/>
      <c r="SSK45" s="1"/>
      <c r="SSL45" s="1"/>
      <c r="SSM45" s="1"/>
      <c r="SSN45" s="1"/>
      <c r="SSO45" s="1"/>
      <c r="SSP45" s="1"/>
      <c r="SSQ45" s="1"/>
      <c r="SSR45" s="1"/>
      <c r="SSS45" s="1"/>
      <c r="SST45" s="1"/>
      <c r="SSU45" s="1"/>
      <c r="SSV45" s="1"/>
      <c r="SSW45" s="1"/>
      <c r="SSX45" s="1"/>
      <c r="SSY45" s="1"/>
      <c r="SSZ45" s="1"/>
      <c r="STA45" s="1"/>
      <c r="STB45" s="1"/>
      <c r="STC45" s="1"/>
      <c r="STD45" s="1"/>
      <c r="STE45" s="1"/>
      <c r="STF45" s="1"/>
      <c r="STG45" s="1"/>
      <c r="STH45" s="1"/>
      <c r="STI45" s="1"/>
      <c r="STJ45" s="1"/>
      <c r="STK45" s="1"/>
      <c r="STL45" s="1"/>
      <c r="STM45" s="1"/>
      <c r="STN45" s="1"/>
      <c r="STO45" s="1"/>
      <c r="STP45" s="1"/>
      <c r="STQ45" s="1"/>
      <c r="STR45" s="1"/>
      <c r="STS45" s="1"/>
      <c r="STT45" s="1"/>
      <c r="STU45" s="1"/>
      <c r="STV45" s="1"/>
      <c r="STW45" s="1"/>
      <c r="STX45" s="1"/>
      <c r="STY45" s="1"/>
      <c r="STZ45" s="1"/>
      <c r="SUA45" s="1"/>
      <c r="SUB45" s="1"/>
      <c r="SUC45" s="1"/>
      <c r="SUD45" s="1"/>
      <c r="SUE45" s="1"/>
      <c r="SUF45" s="1"/>
      <c r="SUG45" s="1"/>
      <c r="SUH45" s="1"/>
      <c r="SUI45" s="1"/>
      <c r="SUJ45" s="1"/>
      <c r="SUK45" s="1"/>
      <c r="SUL45" s="1"/>
      <c r="SUM45" s="1"/>
      <c r="SUN45" s="1"/>
      <c r="SUO45" s="1"/>
      <c r="SUP45" s="1"/>
      <c r="SUQ45" s="1"/>
      <c r="SUR45" s="1"/>
      <c r="SUS45" s="1"/>
      <c r="SUT45" s="1"/>
      <c r="SUU45" s="1"/>
      <c r="SUV45" s="1"/>
      <c r="SUW45" s="1"/>
      <c r="SUX45" s="1"/>
      <c r="SUY45" s="1"/>
      <c r="SUZ45" s="1"/>
      <c r="SVA45" s="1"/>
      <c r="SVB45" s="1"/>
      <c r="SVC45" s="1"/>
      <c r="SVD45" s="1"/>
      <c r="SVE45" s="1"/>
      <c r="SVF45" s="1"/>
      <c r="SVG45" s="1"/>
      <c r="SVH45" s="1"/>
      <c r="SVI45" s="1"/>
      <c r="SVJ45" s="1"/>
      <c r="SVK45" s="1"/>
      <c r="SVL45" s="1"/>
      <c r="SVM45" s="1"/>
      <c r="SVN45" s="1"/>
      <c r="SVO45" s="1"/>
      <c r="SVP45" s="1"/>
      <c r="SVQ45" s="1"/>
      <c r="SVR45" s="1"/>
      <c r="SVS45" s="1"/>
      <c r="SVT45" s="1"/>
      <c r="SVU45" s="1"/>
      <c r="SVV45" s="1"/>
      <c r="SVW45" s="1"/>
      <c r="SVX45" s="1"/>
      <c r="SVY45" s="1"/>
      <c r="SVZ45" s="1"/>
      <c r="SWA45" s="1"/>
      <c r="SWB45" s="1"/>
      <c r="SWC45" s="1"/>
      <c r="SWD45" s="1"/>
      <c r="SWE45" s="1"/>
      <c r="SWF45" s="1"/>
      <c r="SWG45" s="1"/>
      <c r="SWH45" s="1"/>
      <c r="SWI45" s="1"/>
      <c r="SWJ45" s="1"/>
      <c r="SWK45" s="1"/>
      <c r="SWL45" s="1"/>
      <c r="SWM45" s="1"/>
      <c r="SWN45" s="1"/>
      <c r="SWO45" s="1"/>
      <c r="SWP45" s="1"/>
      <c r="SWQ45" s="1"/>
      <c r="SWR45" s="1"/>
      <c r="SWS45" s="1"/>
      <c r="SWT45" s="1"/>
      <c r="SWU45" s="1"/>
      <c r="SWV45" s="1"/>
      <c r="SWW45" s="1"/>
      <c r="SWX45" s="1"/>
      <c r="SWY45" s="1"/>
      <c r="SWZ45" s="1"/>
      <c r="SXA45" s="1"/>
      <c r="SXB45" s="1"/>
      <c r="SXC45" s="1"/>
      <c r="SXD45" s="1"/>
      <c r="SXE45" s="1"/>
      <c r="SXF45" s="1"/>
      <c r="SXG45" s="1"/>
      <c r="SXH45" s="1"/>
      <c r="SXI45" s="1"/>
      <c r="SXJ45" s="1"/>
      <c r="SXK45" s="1"/>
      <c r="SXL45" s="1"/>
      <c r="SXM45" s="1"/>
      <c r="SXN45" s="1"/>
      <c r="SXO45" s="1"/>
      <c r="SXP45" s="1"/>
      <c r="SXQ45" s="1"/>
      <c r="SXR45" s="1"/>
      <c r="SXS45" s="1"/>
      <c r="SXT45" s="1"/>
      <c r="SXU45" s="1"/>
      <c r="SXV45" s="1"/>
      <c r="SXW45" s="1"/>
      <c r="SXX45" s="1"/>
      <c r="SXY45" s="1"/>
      <c r="SXZ45" s="1"/>
      <c r="SYA45" s="1"/>
      <c r="SYB45" s="1"/>
      <c r="SYC45" s="1"/>
      <c r="SYD45" s="1"/>
      <c r="SYE45" s="1"/>
      <c r="SYF45" s="1"/>
      <c r="SYG45" s="1"/>
      <c r="SYH45" s="1"/>
      <c r="SYI45" s="1"/>
      <c r="SYJ45" s="1"/>
      <c r="SYK45" s="1"/>
      <c r="SYL45" s="1"/>
      <c r="SYM45" s="1"/>
      <c r="SYN45" s="1"/>
      <c r="SYO45" s="1"/>
      <c r="SYP45" s="1"/>
      <c r="SYQ45" s="1"/>
      <c r="SYR45" s="1"/>
      <c r="SYS45" s="1"/>
      <c r="SYT45" s="1"/>
      <c r="SYU45" s="1"/>
      <c r="SYV45" s="1"/>
      <c r="SYW45" s="1"/>
      <c r="SYX45" s="1"/>
      <c r="SYY45" s="1"/>
      <c r="SYZ45" s="1"/>
      <c r="SZA45" s="1"/>
      <c r="SZB45" s="1"/>
      <c r="SZC45" s="1"/>
      <c r="SZD45" s="1"/>
      <c r="SZE45" s="1"/>
      <c r="SZF45" s="1"/>
      <c r="SZG45" s="1"/>
      <c r="SZH45" s="1"/>
      <c r="SZI45" s="1"/>
      <c r="SZJ45" s="1"/>
      <c r="SZK45" s="1"/>
      <c r="SZL45" s="1"/>
      <c r="SZM45" s="1"/>
      <c r="SZN45" s="1"/>
      <c r="SZO45" s="1"/>
      <c r="SZP45" s="1"/>
      <c r="SZQ45" s="1"/>
      <c r="SZR45" s="1"/>
      <c r="SZS45" s="1"/>
      <c r="SZT45" s="1"/>
      <c r="SZU45" s="1"/>
      <c r="SZV45" s="1"/>
      <c r="SZW45" s="1"/>
      <c r="SZX45" s="1"/>
      <c r="SZY45" s="1"/>
      <c r="SZZ45" s="1"/>
      <c r="TAA45" s="1"/>
      <c r="TAB45" s="1"/>
      <c r="TAC45" s="1"/>
      <c r="TAD45" s="1"/>
      <c r="TAE45" s="1"/>
      <c r="TAF45" s="1"/>
      <c r="TAG45" s="1"/>
      <c r="TAH45" s="1"/>
      <c r="TAI45" s="1"/>
      <c r="TAJ45" s="1"/>
      <c r="TAK45" s="1"/>
      <c r="TAL45" s="1"/>
      <c r="TAM45" s="1"/>
      <c r="TAN45" s="1"/>
      <c r="TAO45" s="1"/>
      <c r="TAP45" s="1"/>
      <c r="TAQ45" s="1"/>
      <c r="TAR45" s="1"/>
      <c r="TAS45" s="1"/>
      <c r="TAT45" s="1"/>
      <c r="TAU45" s="1"/>
      <c r="TAV45" s="1"/>
      <c r="TAW45" s="1"/>
      <c r="TAX45" s="1"/>
      <c r="TAY45" s="1"/>
      <c r="TAZ45" s="1"/>
      <c r="TBA45" s="1"/>
      <c r="TBB45" s="1"/>
      <c r="TBC45" s="1"/>
      <c r="TBD45" s="1"/>
      <c r="TBE45" s="1"/>
      <c r="TBF45" s="1"/>
      <c r="TBG45" s="1"/>
      <c r="TBH45" s="1"/>
      <c r="TBI45" s="1"/>
      <c r="TBJ45" s="1"/>
      <c r="TBK45" s="1"/>
      <c r="TBL45" s="1"/>
      <c r="TBM45" s="1"/>
      <c r="TBN45" s="1"/>
      <c r="TBO45" s="1"/>
      <c r="TBP45" s="1"/>
      <c r="TBQ45" s="1"/>
      <c r="TBR45" s="1"/>
      <c r="TBS45" s="1"/>
      <c r="TBT45" s="1"/>
      <c r="TBU45" s="1"/>
      <c r="TBV45" s="1"/>
      <c r="TBW45" s="1"/>
      <c r="TBX45" s="1"/>
      <c r="TBY45" s="1"/>
      <c r="TBZ45" s="1"/>
      <c r="TCA45" s="1"/>
      <c r="TCB45" s="1"/>
      <c r="TCC45" s="1"/>
      <c r="TCD45" s="1"/>
      <c r="TCE45" s="1"/>
      <c r="TCF45" s="1"/>
      <c r="TCG45" s="1"/>
      <c r="TCH45" s="1"/>
      <c r="TCI45" s="1"/>
      <c r="TCJ45" s="1"/>
      <c r="TCK45" s="1"/>
      <c r="TCL45" s="1"/>
      <c r="TCM45" s="1"/>
      <c r="TCN45" s="1"/>
      <c r="TCO45" s="1"/>
      <c r="TCP45" s="1"/>
      <c r="TCQ45" s="1"/>
      <c r="TCR45" s="1"/>
      <c r="TCS45" s="1"/>
      <c r="TCT45" s="1"/>
      <c r="TCU45" s="1"/>
      <c r="TCV45" s="1"/>
      <c r="TCW45" s="1"/>
      <c r="TCX45" s="1"/>
      <c r="TCY45" s="1"/>
      <c r="TCZ45" s="1"/>
      <c r="TDA45" s="1"/>
      <c r="TDB45" s="1"/>
      <c r="TDC45" s="1"/>
      <c r="TDD45" s="1"/>
      <c r="TDE45" s="1"/>
      <c r="TDF45" s="1"/>
      <c r="TDG45" s="1"/>
      <c r="TDH45" s="1"/>
      <c r="TDI45" s="1"/>
      <c r="TDJ45" s="1"/>
      <c r="TDK45" s="1"/>
      <c r="TDL45" s="1"/>
      <c r="TDM45" s="1"/>
      <c r="TDN45" s="1"/>
      <c r="TDO45" s="1"/>
      <c r="TDP45" s="1"/>
      <c r="TDQ45" s="1"/>
      <c r="TDR45" s="1"/>
      <c r="TDS45" s="1"/>
      <c r="TDT45" s="1"/>
      <c r="TDU45" s="1"/>
      <c r="TDV45" s="1"/>
      <c r="TDW45" s="1"/>
      <c r="TDX45" s="1"/>
      <c r="TDY45" s="1"/>
      <c r="TDZ45" s="1"/>
      <c r="TEA45" s="1"/>
      <c r="TEB45" s="1"/>
      <c r="TEC45" s="1"/>
      <c r="TED45" s="1"/>
      <c r="TEE45" s="1"/>
      <c r="TEF45" s="1"/>
      <c r="TEG45" s="1"/>
      <c r="TEH45" s="1"/>
      <c r="TEI45" s="1"/>
      <c r="TEJ45" s="1"/>
      <c r="TEK45" s="1"/>
      <c r="TEL45" s="1"/>
      <c r="TEM45" s="1"/>
      <c r="TEN45" s="1"/>
      <c r="TEO45" s="1"/>
      <c r="TEP45" s="1"/>
      <c r="TEQ45" s="1"/>
      <c r="TER45" s="1"/>
      <c r="TES45" s="1"/>
      <c r="TET45" s="1"/>
      <c r="TEU45" s="1"/>
      <c r="TEV45" s="1"/>
      <c r="TEW45" s="1"/>
      <c r="TEX45" s="1"/>
      <c r="TEY45" s="1"/>
      <c r="TEZ45" s="1"/>
      <c r="TFA45" s="1"/>
      <c r="TFB45" s="1"/>
      <c r="TFC45" s="1"/>
      <c r="TFD45" s="1"/>
      <c r="TFE45" s="1"/>
      <c r="TFF45" s="1"/>
      <c r="TFG45" s="1"/>
      <c r="TFH45" s="1"/>
      <c r="TFI45" s="1"/>
      <c r="TFJ45" s="1"/>
      <c r="TFK45" s="1"/>
      <c r="TFL45" s="1"/>
      <c r="TFM45" s="1"/>
      <c r="TFN45" s="1"/>
      <c r="TFO45" s="1"/>
      <c r="TFP45" s="1"/>
      <c r="TFQ45" s="1"/>
      <c r="TFR45" s="1"/>
      <c r="TFS45" s="1"/>
      <c r="TFT45" s="1"/>
      <c r="TFU45" s="1"/>
      <c r="TFV45" s="1"/>
      <c r="TFW45" s="1"/>
      <c r="TFX45" s="1"/>
      <c r="TFY45" s="1"/>
      <c r="TFZ45" s="1"/>
      <c r="TGA45" s="1"/>
      <c r="TGB45" s="1"/>
      <c r="TGC45" s="1"/>
      <c r="TGD45" s="1"/>
      <c r="TGE45" s="1"/>
      <c r="TGF45" s="1"/>
      <c r="TGG45" s="1"/>
      <c r="TGH45" s="1"/>
      <c r="TGI45" s="1"/>
      <c r="TGJ45" s="1"/>
      <c r="TGK45" s="1"/>
      <c r="TGL45" s="1"/>
      <c r="TGM45" s="1"/>
      <c r="TGN45" s="1"/>
      <c r="TGO45" s="1"/>
      <c r="TGP45" s="1"/>
      <c r="TGQ45" s="1"/>
      <c r="TGR45" s="1"/>
      <c r="TGS45" s="1"/>
      <c r="TGT45" s="1"/>
      <c r="TGU45" s="1"/>
      <c r="TGV45" s="1"/>
      <c r="TGW45" s="1"/>
      <c r="TGX45" s="1"/>
      <c r="TGY45" s="1"/>
      <c r="TGZ45" s="1"/>
      <c r="THA45" s="1"/>
      <c r="THB45" s="1"/>
      <c r="THC45" s="1"/>
      <c r="THD45" s="1"/>
      <c r="THE45" s="1"/>
      <c r="THF45" s="1"/>
      <c r="THG45" s="1"/>
      <c r="THH45" s="1"/>
      <c r="THI45" s="1"/>
      <c r="THJ45" s="1"/>
      <c r="THK45" s="1"/>
      <c r="THL45" s="1"/>
      <c r="THM45" s="1"/>
      <c r="THN45" s="1"/>
      <c r="THO45" s="1"/>
      <c r="THP45" s="1"/>
      <c r="THQ45" s="1"/>
      <c r="THR45" s="1"/>
      <c r="THS45" s="1"/>
      <c r="THT45" s="1"/>
      <c r="THU45" s="1"/>
      <c r="THV45" s="1"/>
      <c r="THW45" s="1"/>
      <c r="THX45" s="1"/>
      <c r="THY45" s="1"/>
      <c r="THZ45" s="1"/>
      <c r="TIA45" s="1"/>
      <c r="TIB45" s="1"/>
      <c r="TIC45" s="1"/>
      <c r="TID45" s="1"/>
      <c r="TIE45" s="1"/>
      <c r="TIF45" s="1"/>
      <c r="TIG45" s="1"/>
      <c r="TIH45" s="1"/>
      <c r="TII45" s="1"/>
      <c r="TIJ45" s="1"/>
      <c r="TIK45" s="1"/>
      <c r="TIL45" s="1"/>
      <c r="TIM45" s="1"/>
      <c r="TIN45" s="1"/>
      <c r="TIO45" s="1"/>
      <c r="TIP45" s="1"/>
      <c r="TIQ45" s="1"/>
      <c r="TIR45" s="1"/>
      <c r="TIS45" s="1"/>
      <c r="TIT45" s="1"/>
      <c r="TIU45" s="1"/>
      <c r="TIV45" s="1"/>
      <c r="TIW45" s="1"/>
      <c r="TIX45" s="1"/>
      <c r="TIY45" s="1"/>
      <c r="TIZ45" s="1"/>
      <c r="TJA45" s="1"/>
      <c r="TJB45" s="1"/>
      <c r="TJC45" s="1"/>
      <c r="TJD45" s="1"/>
      <c r="TJE45" s="1"/>
      <c r="TJF45" s="1"/>
      <c r="TJG45" s="1"/>
      <c r="TJH45" s="1"/>
      <c r="TJI45" s="1"/>
      <c r="TJJ45" s="1"/>
      <c r="TJK45" s="1"/>
      <c r="TJL45" s="1"/>
      <c r="TJM45" s="1"/>
      <c r="TJN45" s="1"/>
      <c r="TJO45" s="1"/>
      <c r="TJP45" s="1"/>
      <c r="TJQ45" s="1"/>
      <c r="TJR45" s="1"/>
      <c r="TJS45" s="1"/>
      <c r="TJT45" s="1"/>
      <c r="TJU45" s="1"/>
      <c r="TJV45" s="1"/>
      <c r="TJW45" s="1"/>
      <c r="TJX45" s="1"/>
      <c r="TJY45" s="1"/>
      <c r="TJZ45" s="1"/>
      <c r="TKA45" s="1"/>
      <c r="TKB45" s="1"/>
      <c r="TKC45" s="1"/>
      <c r="TKD45" s="1"/>
      <c r="TKE45" s="1"/>
      <c r="TKF45" s="1"/>
      <c r="TKG45" s="1"/>
      <c r="TKH45" s="1"/>
      <c r="TKI45" s="1"/>
      <c r="TKJ45" s="1"/>
      <c r="TKK45" s="1"/>
      <c r="TKL45" s="1"/>
      <c r="TKM45" s="1"/>
      <c r="TKN45" s="1"/>
      <c r="TKO45" s="1"/>
      <c r="TKP45" s="1"/>
      <c r="TKQ45" s="1"/>
      <c r="TKR45" s="1"/>
      <c r="TKS45" s="1"/>
      <c r="TKT45" s="1"/>
      <c r="TKU45" s="1"/>
      <c r="TKV45" s="1"/>
      <c r="TKW45" s="1"/>
      <c r="TKX45" s="1"/>
      <c r="TKY45" s="1"/>
      <c r="TKZ45" s="1"/>
      <c r="TLA45" s="1"/>
      <c r="TLB45" s="1"/>
      <c r="TLC45" s="1"/>
      <c r="TLD45" s="1"/>
      <c r="TLE45" s="1"/>
      <c r="TLF45" s="1"/>
      <c r="TLG45" s="1"/>
      <c r="TLH45" s="1"/>
      <c r="TLI45" s="1"/>
      <c r="TLJ45" s="1"/>
      <c r="TLK45" s="1"/>
      <c r="TLL45" s="1"/>
      <c r="TLM45" s="1"/>
      <c r="TLN45" s="1"/>
      <c r="TLO45" s="1"/>
      <c r="TLP45" s="1"/>
      <c r="TLQ45" s="1"/>
      <c r="TLR45" s="1"/>
      <c r="TLS45" s="1"/>
      <c r="TLT45" s="1"/>
      <c r="TLU45" s="1"/>
      <c r="TLV45" s="1"/>
      <c r="TLW45" s="1"/>
      <c r="TLX45" s="1"/>
      <c r="TLY45" s="1"/>
      <c r="TLZ45" s="1"/>
      <c r="TMA45" s="1"/>
      <c r="TMB45" s="1"/>
      <c r="TMC45" s="1"/>
      <c r="TMD45" s="1"/>
      <c r="TME45" s="1"/>
      <c r="TMF45" s="1"/>
      <c r="TMG45" s="1"/>
      <c r="TMH45" s="1"/>
      <c r="TMI45" s="1"/>
      <c r="TMJ45" s="1"/>
      <c r="TMK45" s="1"/>
      <c r="TML45" s="1"/>
      <c r="TMM45" s="1"/>
      <c r="TMN45" s="1"/>
      <c r="TMO45" s="1"/>
      <c r="TMP45" s="1"/>
      <c r="TMQ45" s="1"/>
      <c r="TMR45" s="1"/>
      <c r="TMS45" s="1"/>
      <c r="TMT45" s="1"/>
      <c r="TMU45" s="1"/>
      <c r="TMV45" s="1"/>
      <c r="TMW45" s="1"/>
      <c r="TMX45" s="1"/>
      <c r="TMY45" s="1"/>
      <c r="TMZ45" s="1"/>
      <c r="TNA45" s="1"/>
      <c r="TNB45" s="1"/>
      <c r="TNC45" s="1"/>
      <c r="TND45" s="1"/>
      <c r="TNE45" s="1"/>
      <c r="TNF45" s="1"/>
      <c r="TNG45" s="1"/>
      <c r="TNH45" s="1"/>
      <c r="TNI45" s="1"/>
      <c r="TNJ45" s="1"/>
      <c r="TNK45" s="1"/>
      <c r="TNL45" s="1"/>
      <c r="TNM45" s="1"/>
      <c r="TNN45" s="1"/>
      <c r="TNO45" s="1"/>
      <c r="TNP45" s="1"/>
      <c r="TNQ45" s="1"/>
      <c r="TNR45" s="1"/>
      <c r="TNS45" s="1"/>
      <c r="TNT45" s="1"/>
      <c r="TNU45" s="1"/>
      <c r="TNV45" s="1"/>
      <c r="TNW45" s="1"/>
      <c r="TNX45" s="1"/>
      <c r="TNY45" s="1"/>
      <c r="TNZ45" s="1"/>
      <c r="TOA45" s="1"/>
      <c r="TOB45" s="1"/>
      <c r="TOC45" s="1"/>
      <c r="TOD45" s="1"/>
      <c r="TOE45" s="1"/>
      <c r="TOF45" s="1"/>
      <c r="TOG45" s="1"/>
      <c r="TOH45" s="1"/>
      <c r="TOI45" s="1"/>
      <c r="TOJ45" s="1"/>
      <c r="TOK45" s="1"/>
      <c r="TOL45" s="1"/>
      <c r="TOM45" s="1"/>
      <c r="TON45" s="1"/>
      <c r="TOO45" s="1"/>
      <c r="TOP45" s="1"/>
      <c r="TOQ45" s="1"/>
      <c r="TOR45" s="1"/>
      <c r="TOS45" s="1"/>
      <c r="TOT45" s="1"/>
      <c r="TOU45" s="1"/>
      <c r="TOV45" s="1"/>
      <c r="TOW45" s="1"/>
      <c r="TOX45" s="1"/>
      <c r="TOY45" s="1"/>
      <c r="TOZ45" s="1"/>
      <c r="TPA45" s="1"/>
      <c r="TPB45" s="1"/>
      <c r="TPC45" s="1"/>
      <c r="TPD45" s="1"/>
      <c r="TPE45" s="1"/>
      <c r="TPF45" s="1"/>
      <c r="TPG45" s="1"/>
      <c r="TPH45" s="1"/>
      <c r="TPI45" s="1"/>
      <c r="TPJ45" s="1"/>
      <c r="TPK45" s="1"/>
      <c r="TPL45" s="1"/>
      <c r="TPM45" s="1"/>
      <c r="TPN45" s="1"/>
      <c r="TPO45" s="1"/>
      <c r="TPP45" s="1"/>
      <c r="TPQ45" s="1"/>
      <c r="TPR45" s="1"/>
      <c r="TPS45" s="1"/>
      <c r="TPT45" s="1"/>
      <c r="TPU45" s="1"/>
      <c r="TPV45" s="1"/>
      <c r="TPW45" s="1"/>
      <c r="TPX45" s="1"/>
      <c r="TPY45" s="1"/>
      <c r="TPZ45" s="1"/>
      <c r="TQA45" s="1"/>
      <c r="TQB45" s="1"/>
      <c r="TQC45" s="1"/>
      <c r="TQD45" s="1"/>
      <c r="TQE45" s="1"/>
      <c r="TQF45" s="1"/>
      <c r="TQG45" s="1"/>
      <c r="TQH45" s="1"/>
      <c r="TQI45" s="1"/>
      <c r="TQJ45" s="1"/>
      <c r="TQK45" s="1"/>
      <c r="TQL45" s="1"/>
      <c r="TQM45" s="1"/>
      <c r="TQN45" s="1"/>
      <c r="TQO45" s="1"/>
      <c r="TQP45" s="1"/>
      <c r="TQQ45" s="1"/>
      <c r="TQR45" s="1"/>
      <c r="TQS45" s="1"/>
      <c r="TQT45" s="1"/>
      <c r="TQU45" s="1"/>
      <c r="TQV45" s="1"/>
      <c r="TQW45" s="1"/>
      <c r="TQX45" s="1"/>
      <c r="TQY45" s="1"/>
      <c r="TQZ45" s="1"/>
      <c r="TRA45" s="1"/>
      <c r="TRB45" s="1"/>
      <c r="TRC45" s="1"/>
      <c r="TRD45" s="1"/>
      <c r="TRE45" s="1"/>
      <c r="TRF45" s="1"/>
      <c r="TRG45" s="1"/>
      <c r="TRH45" s="1"/>
      <c r="TRI45" s="1"/>
      <c r="TRJ45" s="1"/>
      <c r="TRK45" s="1"/>
      <c r="TRL45" s="1"/>
      <c r="TRM45" s="1"/>
      <c r="TRN45" s="1"/>
      <c r="TRO45" s="1"/>
      <c r="TRP45" s="1"/>
      <c r="TRQ45" s="1"/>
      <c r="TRR45" s="1"/>
      <c r="TRS45" s="1"/>
      <c r="TRT45" s="1"/>
      <c r="TRU45" s="1"/>
      <c r="TRV45" s="1"/>
      <c r="TRW45" s="1"/>
      <c r="TRX45" s="1"/>
      <c r="TRY45" s="1"/>
      <c r="TRZ45" s="1"/>
      <c r="TSA45" s="1"/>
      <c r="TSB45" s="1"/>
      <c r="TSC45" s="1"/>
      <c r="TSD45" s="1"/>
      <c r="TSE45" s="1"/>
      <c r="TSF45" s="1"/>
      <c r="TSG45" s="1"/>
      <c r="TSH45" s="1"/>
      <c r="TSI45" s="1"/>
      <c r="TSJ45" s="1"/>
      <c r="TSK45" s="1"/>
      <c r="TSL45" s="1"/>
      <c r="TSM45" s="1"/>
      <c r="TSN45" s="1"/>
      <c r="TSO45" s="1"/>
      <c r="TSP45" s="1"/>
      <c r="TSQ45" s="1"/>
      <c r="TSR45" s="1"/>
      <c r="TSS45" s="1"/>
      <c r="TST45" s="1"/>
      <c r="TSU45" s="1"/>
      <c r="TSV45" s="1"/>
      <c r="TSW45" s="1"/>
      <c r="TSX45" s="1"/>
      <c r="TSY45" s="1"/>
      <c r="TSZ45" s="1"/>
      <c r="TTA45" s="1"/>
      <c r="TTB45" s="1"/>
      <c r="TTC45" s="1"/>
      <c r="TTD45" s="1"/>
      <c r="TTE45" s="1"/>
      <c r="TTF45" s="1"/>
      <c r="TTG45" s="1"/>
      <c r="TTH45" s="1"/>
      <c r="TTI45" s="1"/>
      <c r="TTJ45" s="1"/>
      <c r="TTK45" s="1"/>
      <c r="TTL45" s="1"/>
      <c r="TTM45" s="1"/>
      <c r="TTN45" s="1"/>
      <c r="TTO45" s="1"/>
      <c r="TTP45" s="1"/>
      <c r="TTQ45" s="1"/>
      <c r="TTR45" s="1"/>
      <c r="TTS45" s="1"/>
      <c r="TTT45" s="1"/>
      <c r="TTU45" s="1"/>
      <c r="TTV45" s="1"/>
      <c r="TTW45" s="1"/>
      <c r="TTX45" s="1"/>
      <c r="TTY45" s="1"/>
      <c r="TTZ45" s="1"/>
      <c r="TUA45" s="1"/>
      <c r="TUB45" s="1"/>
      <c r="TUC45" s="1"/>
      <c r="TUD45" s="1"/>
      <c r="TUE45" s="1"/>
      <c r="TUF45" s="1"/>
      <c r="TUG45" s="1"/>
      <c r="TUH45" s="1"/>
      <c r="TUI45" s="1"/>
      <c r="TUJ45" s="1"/>
      <c r="TUK45" s="1"/>
      <c r="TUL45" s="1"/>
      <c r="TUM45" s="1"/>
      <c r="TUN45" s="1"/>
      <c r="TUO45" s="1"/>
      <c r="TUP45" s="1"/>
      <c r="TUQ45" s="1"/>
      <c r="TUR45" s="1"/>
      <c r="TUS45" s="1"/>
      <c r="TUT45" s="1"/>
      <c r="TUU45" s="1"/>
      <c r="TUV45" s="1"/>
      <c r="TUW45" s="1"/>
      <c r="TUX45" s="1"/>
      <c r="TUY45" s="1"/>
      <c r="TUZ45" s="1"/>
      <c r="TVA45" s="1"/>
      <c r="TVB45" s="1"/>
      <c r="TVC45" s="1"/>
      <c r="TVD45" s="1"/>
      <c r="TVE45" s="1"/>
      <c r="TVF45" s="1"/>
      <c r="TVG45" s="1"/>
      <c r="TVH45" s="1"/>
      <c r="TVI45" s="1"/>
      <c r="TVJ45" s="1"/>
      <c r="TVK45" s="1"/>
      <c r="TVL45" s="1"/>
      <c r="TVM45" s="1"/>
      <c r="TVN45" s="1"/>
      <c r="TVO45" s="1"/>
      <c r="TVP45" s="1"/>
      <c r="TVQ45" s="1"/>
      <c r="TVR45" s="1"/>
      <c r="TVS45" s="1"/>
      <c r="TVT45" s="1"/>
      <c r="TVU45" s="1"/>
      <c r="TVV45" s="1"/>
      <c r="TVW45" s="1"/>
      <c r="TVX45" s="1"/>
      <c r="TVY45" s="1"/>
      <c r="TVZ45" s="1"/>
      <c r="TWA45" s="1"/>
      <c r="TWB45" s="1"/>
      <c r="TWC45" s="1"/>
      <c r="TWD45" s="1"/>
      <c r="TWE45" s="1"/>
      <c r="TWF45" s="1"/>
      <c r="TWG45" s="1"/>
      <c r="TWH45" s="1"/>
      <c r="TWI45" s="1"/>
      <c r="TWJ45" s="1"/>
      <c r="TWK45" s="1"/>
      <c r="TWL45" s="1"/>
      <c r="TWM45" s="1"/>
      <c r="TWN45" s="1"/>
      <c r="TWO45" s="1"/>
      <c r="TWP45" s="1"/>
      <c r="TWQ45" s="1"/>
      <c r="TWR45" s="1"/>
      <c r="TWS45" s="1"/>
      <c r="TWT45" s="1"/>
      <c r="TWU45" s="1"/>
      <c r="TWV45" s="1"/>
      <c r="TWW45" s="1"/>
      <c r="TWX45" s="1"/>
      <c r="TWY45" s="1"/>
      <c r="TWZ45" s="1"/>
      <c r="TXA45" s="1"/>
      <c r="TXB45" s="1"/>
      <c r="TXC45" s="1"/>
      <c r="TXD45" s="1"/>
      <c r="TXE45" s="1"/>
      <c r="TXF45" s="1"/>
      <c r="TXG45" s="1"/>
      <c r="TXH45" s="1"/>
      <c r="TXI45" s="1"/>
      <c r="TXJ45" s="1"/>
      <c r="TXK45" s="1"/>
      <c r="TXL45" s="1"/>
      <c r="TXM45" s="1"/>
      <c r="TXN45" s="1"/>
      <c r="TXO45" s="1"/>
      <c r="TXP45" s="1"/>
      <c r="TXQ45" s="1"/>
      <c r="TXR45" s="1"/>
      <c r="TXS45" s="1"/>
      <c r="TXT45" s="1"/>
      <c r="TXU45" s="1"/>
      <c r="TXV45" s="1"/>
      <c r="TXW45" s="1"/>
      <c r="TXX45" s="1"/>
      <c r="TXY45" s="1"/>
      <c r="TXZ45" s="1"/>
      <c r="TYA45" s="1"/>
      <c r="TYB45" s="1"/>
      <c r="TYC45" s="1"/>
      <c r="TYD45" s="1"/>
      <c r="TYE45" s="1"/>
      <c r="TYF45" s="1"/>
      <c r="TYG45" s="1"/>
      <c r="TYH45" s="1"/>
      <c r="TYI45" s="1"/>
      <c r="TYJ45" s="1"/>
      <c r="TYK45" s="1"/>
      <c r="TYL45" s="1"/>
      <c r="TYM45" s="1"/>
      <c r="TYN45" s="1"/>
      <c r="TYO45" s="1"/>
      <c r="TYP45" s="1"/>
      <c r="TYQ45" s="1"/>
      <c r="TYR45" s="1"/>
      <c r="TYS45" s="1"/>
      <c r="TYT45" s="1"/>
      <c r="TYU45" s="1"/>
      <c r="TYV45" s="1"/>
      <c r="TYW45" s="1"/>
      <c r="TYX45" s="1"/>
      <c r="TYY45" s="1"/>
      <c r="TYZ45" s="1"/>
      <c r="TZA45" s="1"/>
      <c r="TZB45" s="1"/>
      <c r="TZC45" s="1"/>
      <c r="TZD45" s="1"/>
      <c r="TZE45" s="1"/>
      <c r="TZF45" s="1"/>
      <c r="TZG45" s="1"/>
      <c r="TZH45" s="1"/>
      <c r="TZI45" s="1"/>
      <c r="TZJ45" s="1"/>
      <c r="TZK45" s="1"/>
      <c r="TZL45" s="1"/>
      <c r="TZM45" s="1"/>
      <c r="TZN45" s="1"/>
      <c r="TZO45" s="1"/>
      <c r="TZP45" s="1"/>
      <c r="TZQ45" s="1"/>
      <c r="TZR45" s="1"/>
      <c r="TZS45" s="1"/>
      <c r="TZT45" s="1"/>
      <c r="TZU45" s="1"/>
      <c r="TZV45" s="1"/>
      <c r="TZW45" s="1"/>
      <c r="TZX45" s="1"/>
      <c r="TZY45" s="1"/>
      <c r="TZZ45" s="1"/>
      <c r="UAA45" s="1"/>
      <c r="UAB45" s="1"/>
      <c r="UAC45" s="1"/>
      <c r="UAD45" s="1"/>
      <c r="UAE45" s="1"/>
      <c r="UAF45" s="1"/>
      <c r="UAG45" s="1"/>
      <c r="UAH45" s="1"/>
      <c r="UAI45" s="1"/>
      <c r="UAJ45" s="1"/>
      <c r="UAK45" s="1"/>
      <c r="UAL45" s="1"/>
      <c r="UAM45" s="1"/>
      <c r="UAN45" s="1"/>
      <c r="UAO45" s="1"/>
      <c r="UAP45" s="1"/>
      <c r="UAQ45" s="1"/>
      <c r="UAR45" s="1"/>
      <c r="UAS45" s="1"/>
      <c r="UAT45" s="1"/>
      <c r="UAU45" s="1"/>
      <c r="UAV45" s="1"/>
      <c r="UAW45" s="1"/>
      <c r="UAX45" s="1"/>
      <c r="UAY45" s="1"/>
      <c r="UAZ45" s="1"/>
      <c r="UBA45" s="1"/>
      <c r="UBB45" s="1"/>
      <c r="UBC45" s="1"/>
      <c r="UBD45" s="1"/>
      <c r="UBE45" s="1"/>
      <c r="UBF45" s="1"/>
      <c r="UBG45" s="1"/>
      <c r="UBH45" s="1"/>
      <c r="UBI45" s="1"/>
      <c r="UBJ45" s="1"/>
      <c r="UBK45" s="1"/>
      <c r="UBL45" s="1"/>
      <c r="UBM45" s="1"/>
      <c r="UBN45" s="1"/>
      <c r="UBO45" s="1"/>
      <c r="UBP45" s="1"/>
      <c r="UBQ45" s="1"/>
      <c r="UBR45" s="1"/>
      <c r="UBS45" s="1"/>
      <c r="UBT45" s="1"/>
      <c r="UBU45" s="1"/>
      <c r="UBV45" s="1"/>
      <c r="UBW45" s="1"/>
      <c r="UBX45" s="1"/>
      <c r="UBY45" s="1"/>
      <c r="UBZ45" s="1"/>
      <c r="UCA45" s="1"/>
      <c r="UCB45" s="1"/>
      <c r="UCC45" s="1"/>
      <c r="UCD45" s="1"/>
      <c r="UCE45" s="1"/>
      <c r="UCF45" s="1"/>
      <c r="UCG45" s="1"/>
      <c r="UCH45" s="1"/>
      <c r="UCI45" s="1"/>
      <c r="UCJ45" s="1"/>
      <c r="UCK45" s="1"/>
      <c r="UCL45" s="1"/>
      <c r="UCM45" s="1"/>
      <c r="UCN45" s="1"/>
      <c r="UCO45" s="1"/>
      <c r="UCP45" s="1"/>
      <c r="UCQ45" s="1"/>
      <c r="UCR45" s="1"/>
      <c r="UCS45" s="1"/>
      <c r="UCT45" s="1"/>
      <c r="UCU45" s="1"/>
      <c r="UCV45" s="1"/>
      <c r="UCW45" s="1"/>
      <c r="UCX45" s="1"/>
      <c r="UCY45" s="1"/>
      <c r="UCZ45" s="1"/>
      <c r="UDA45" s="1"/>
      <c r="UDB45" s="1"/>
      <c r="UDC45" s="1"/>
      <c r="UDD45" s="1"/>
      <c r="UDE45" s="1"/>
      <c r="UDF45" s="1"/>
      <c r="UDG45" s="1"/>
      <c r="UDH45" s="1"/>
      <c r="UDI45" s="1"/>
      <c r="UDJ45" s="1"/>
      <c r="UDK45" s="1"/>
      <c r="UDL45" s="1"/>
      <c r="UDM45" s="1"/>
      <c r="UDN45" s="1"/>
      <c r="UDO45" s="1"/>
      <c r="UDP45" s="1"/>
      <c r="UDQ45" s="1"/>
      <c r="UDR45" s="1"/>
      <c r="UDS45" s="1"/>
      <c r="UDT45" s="1"/>
      <c r="UDU45" s="1"/>
      <c r="UDV45" s="1"/>
      <c r="UDW45" s="1"/>
      <c r="UDX45" s="1"/>
      <c r="UDY45" s="1"/>
      <c r="UDZ45" s="1"/>
      <c r="UEA45" s="1"/>
      <c r="UEB45" s="1"/>
      <c r="UEC45" s="1"/>
      <c r="UED45" s="1"/>
      <c r="UEE45" s="1"/>
      <c r="UEF45" s="1"/>
      <c r="UEG45" s="1"/>
      <c r="UEH45" s="1"/>
      <c r="UEI45" s="1"/>
      <c r="UEJ45" s="1"/>
      <c r="UEK45" s="1"/>
      <c r="UEL45" s="1"/>
      <c r="UEM45" s="1"/>
      <c r="UEN45" s="1"/>
      <c r="UEO45" s="1"/>
      <c r="UEP45" s="1"/>
      <c r="UEQ45" s="1"/>
      <c r="UER45" s="1"/>
      <c r="UES45" s="1"/>
      <c r="UET45" s="1"/>
      <c r="UEU45" s="1"/>
      <c r="UEV45" s="1"/>
      <c r="UEW45" s="1"/>
      <c r="UEX45" s="1"/>
      <c r="UEY45" s="1"/>
      <c r="UEZ45" s="1"/>
      <c r="UFA45" s="1"/>
      <c r="UFB45" s="1"/>
      <c r="UFC45" s="1"/>
      <c r="UFD45" s="1"/>
      <c r="UFE45" s="1"/>
      <c r="UFF45" s="1"/>
      <c r="UFG45" s="1"/>
      <c r="UFH45" s="1"/>
      <c r="UFI45" s="1"/>
      <c r="UFJ45" s="1"/>
      <c r="UFK45" s="1"/>
      <c r="UFL45" s="1"/>
      <c r="UFM45" s="1"/>
      <c r="UFN45" s="1"/>
      <c r="UFO45" s="1"/>
      <c r="UFP45" s="1"/>
      <c r="UFQ45" s="1"/>
      <c r="UFR45" s="1"/>
      <c r="UFS45" s="1"/>
      <c r="UFT45" s="1"/>
      <c r="UFU45" s="1"/>
      <c r="UFV45" s="1"/>
      <c r="UFW45" s="1"/>
      <c r="UFX45" s="1"/>
      <c r="UFY45" s="1"/>
      <c r="UFZ45" s="1"/>
      <c r="UGA45" s="1"/>
      <c r="UGB45" s="1"/>
      <c r="UGC45" s="1"/>
      <c r="UGD45" s="1"/>
      <c r="UGE45" s="1"/>
      <c r="UGF45" s="1"/>
      <c r="UGG45" s="1"/>
      <c r="UGH45" s="1"/>
      <c r="UGI45" s="1"/>
      <c r="UGJ45" s="1"/>
      <c r="UGK45" s="1"/>
      <c r="UGL45" s="1"/>
      <c r="UGM45" s="1"/>
      <c r="UGN45" s="1"/>
      <c r="UGO45" s="1"/>
      <c r="UGP45" s="1"/>
      <c r="UGQ45" s="1"/>
      <c r="UGR45" s="1"/>
      <c r="UGS45" s="1"/>
      <c r="UGT45" s="1"/>
      <c r="UGU45" s="1"/>
      <c r="UGV45" s="1"/>
      <c r="UGW45" s="1"/>
      <c r="UGX45" s="1"/>
      <c r="UGY45" s="1"/>
      <c r="UGZ45" s="1"/>
      <c r="UHA45" s="1"/>
      <c r="UHB45" s="1"/>
      <c r="UHC45" s="1"/>
      <c r="UHD45" s="1"/>
      <c r="UHE45" s="1"/>
      <c r="UHF45" s="1"/>
      <c r="UHG45" s="1"/>
      <c r="UHH45" s="1"/>
      <c r="UHI45" s="1"/>
      <c r="UHJ45" s="1"/>
      <c r="UHK45" s="1"/>
      <c r="UHL45" s="1"/>
      <c r="UHM45" s="1"/>
      <c r="UHN45" s="1"/>
      <c r="UHO45" s="1"/>
      <c r="UHP45" s="1"/>
      <c r="UHQ45" s="1"/>
      <c r="UHR45" s="1"/>
      <c r="UHS45" s="1"/>
      <c r="UHT45" s="1"/>
      <c r="UHU45" s="1"/>
      <c r="UHV45" s="1"/>
      <c r="UHW45" s="1"/>
      <c r="UHX45" s="1"/>
      <c r="UHY45" s="1"/>
      <c r="UHZ45" s="1"/>
      <c r="UIA45" s="1"/>
      <c r="UIB45" s="1"/>
      <c r="UIC45" s="1"/>
      <c r="UID45" s="1"/>
      <c r="UIE45" s="1"/>
      <c r="UIF45" s="1"/>
      <c r="UIG45" s="1"/>
      <c r="UIH45" s="1"/>
      <c r="UII45" s="1"/>
      <c r="UIJ45" s="1"/>
      <c r="UIK45" s="1"/>
      <c r="UIL45" s="1"/>
      <c r="UIM45" s="1"/>
      <c r="UIN45" s="1"/>
      <c r="UIO45" s="1"/>
      <c r="UIP45" s="1"/>
      <c r="UIQ45" s="1"/>
      <c r="UIR45" s="1"/>
      <c r="UIS45" s="1"/>
      <c r="UIT45" s="1"/>
      <c r="UIU45" s="1"/>
      <c r="UIV45" s="1"/>
      <c r="UIW45" s="1"/>
      <c r="UIX45" s="1"/>
      <c r="UIY45" s="1"/>
      <c r="UIZ45" s="1"/>
      <c r="UJA45" s="1"/>
      <c r="UJB45" s="1"/>
      <c r="UJC45" s="1"/>
      <c r="UJD45" s="1"/>
      <c r="UJE45" s="1"/>
      <c r="UJF45" s="1"/>
      <c r="UJG45" s="1"/>
      <c r="UJH45" s="1"/>
      <c r="UJI45" s="1"/>
      <c r="UJJ45" s="1"/>
      <c r="UJK45" s="1"/>
      <c r="UJL45" s="1"/>
      <c r="UJM45" s="1"/>
      <c r="UJN45" s="1"/>
      <c r="UJO45" s="1"/>
      <c r="UJP45" s="1"/>
      <c r="UJQ45" s="1"/>
      <c r="UJR45" s="1"/>
      <c r="UJS45" s="1"/>
      <c r="UJT45" s="1"/>
      <c r="UJU45" s="1"/>
      <c r="UJV45" s="1"/>
      <c r="UJW45" s="1"/>
      <c r="UJX45" s="1"/>
      <c r="UJY45" s="1"/>
      <c r="UJZ45" s="1"/>
      <c r="UKA45" s="1"/>
      <c r="UKB45" s="1"/>
      <c r="UKC45" s="1"/>
      <c r="UKD45" s="1"/>
      <c r="UKE45" s="1"/>
      <c r="UKF45" s="1"/>
      <c r="UKG45" s="1"/>
      <c r="UKH45" s="1"/>
      <c r="UKI45" s="1"/>
      <c r="UKJ45" s="1"/>
      <c r="UKK45" s="1"/>
      <c r="UKL45" s="1"/>
      <c r="UKM45" s="1"/>
      <c r="UKN45" s="1"/>
      <c r="UKO45" s="1"/>
      <c r="UKP45" s="1"/>
      <c r="UKQ45" s="1"/>
      <c r="UKR45" s="1"/>
      <c r="UKS45" s="1"/>
      <c r="UKT45" s="1"/>
      <c r="UKU45" s="1"/>
      <c r="UKV45" s="1"/>
      <c r="UKW45" s="1"/>
      <c r="UKX45" s="1"/>
      <c r="UKY45" s="1"/>
      <c r="UKZ45" s="1"/>
      <c r="ULA45" s="1"/>
      <c r="ULB45" s="1"/>
      <c r="ULC45" s="1"/>
      <c r="ULD45" s="1"/>
      <c r="ULE45" s="1"/>
      <c r="ULF45" s="1"/>
      <c r="ULG45" s="1"/>
      <c r="ULH45" s="1"/>
      <c r="ULI45" s="1"/>
      <c r="ULJ45" s="1"/>
      <c r="ULK45" s="1"/>
      <c r="ULL45" s="1"/>
      <c r="ULM45" s="1"/>
      <c r="ULN45" s="1"/>
      <c r="ULO45" s="1"/>
      <c r="ULP45" s="1"/>
      <c r="ULQ45" s="1"/>
      <c r="ULR45" s="1"/>
      <c r="ULS45" s="1"/>
      <c r="ULT45" s="1"/>
      <c r="ULU45" s="1"/>
      <c r="ULV45" s="1"/>
      <c r="ULW45" s="1"/>
      <c r="ULX45" s="1"/>
      <c r="ULY45" s="1"/>
      <c r="ULZ45" s="1"/>
      <c r="UMA45" s="1"/>
      <c r="UMB45" s="1"/>
      <c r="UMC45" s="1"/>
      <c r="UMD45" s="1"/>
      <c r="UME45" s="1"/>
      <c r="UMF45" s="1"/>
      <c r="UMG45" s="1"/>
      <c r="UMH45" s="1"/>
      <c r="UMI45" s="1"/>
      <c r="UMJ45" s="1"/>
      <c r="UMK45" s="1"/>
      <c r="UML45" s="1"/>
      <c r="UMM45" s="1"/>
      <c r="UMN45" s="1"/>
      <c r="UMO45" s="1"/>
      <c r="UMP45" s="1"/>
      <c r="UMQ45" s="1"/>
      <c r="UMR45" s="1"/>
      <c r="UMS45" s="1"/>
      <c r="UMT45" s="1"/>
      <c r="UMU45" s="1"/>
      <c r="UMV45" s="1"/>
      <c r="UMW45" s="1"/>
      <c r="UMX45" s="1"/>
      <c r="UMY45" s="1"/>
      <c r="UMZ45" s="1"/>
      <c r="UNA45" s="1"/>
      <c r="UNB45" s="1"/>
      <c r="UNC45" s="1"/>
      <c r="UND45" s="1"/>
      <c r="UNE45" s="1"/>
      <c r="UNF45" s="1"/>
      <c r="UNG45" s="1"/>
      <c r="UNH45" s="1"/>
      <c r="UNI45" s="1"/>
      <c r="UNJ45" s="1"/>
      <c r="UNK45" s="1"/>
      <c r="UNL45" s="1"/>
      <c r="UNM45" s="1"/>
      <c r="UNN45" s="1"/>
      <c r="UNO45" s="1"/>
      <c r="UNP45" s="1"/>
      <c r="UNQ45" s="1"/>
      <c r="UNR45" s="1"/>
      <c r="UNS45" s="1"/>
      <c r="UNT45" s="1"/>
      <c r="UNU45" s="1"/>
      <c r="UNV45" s="1"/>
      <c r="UNW45" s="1"/>
      <c r="UNX45" s="1"/>
      <c r="UNY45" s="1"/>
      <c r="UNZ45" s="1"/>
      <c r="UOA45" s="1"/>
      <c r="UOB45" s="1"/>
      <c r="UOC45" s="1"/>
      <c r="UOD45" s="1"/>
      <c r="UOE45" s="1"/>
      <c r="UOF45" s="1"/>
      <c r="UOG45" s="1"/>
      <c r="UOH45" s="1"/>
      <c r="UOI45" s="1"/>
      <c r="UOJ45" s="1"/>
      <c r="UOK45" s="1"/>
      <c r="UOL45" s="1"/>
      <c r="UOM45" s="1"/>
      <c r="UON45" s="1"/>
      <c r="UOO45" s="1"/>
      <c r="UOP45" s="1"/>
      <c r="UOQ45" s="1"/>
      <c r="UOR45" s="1"/>
      <c r="UOS45" s="1"/>
      <c r="UOT45" s="1"/>
      <c r="UOU45" s="1"/>
      <c r="UOV45" s="1"/>
      <c r="UOW45" s="1"/>
      <c r="UOX45" s="1"/>
      <c r="UOY45" s="1"/>
      <c r="UOZ45" s="1"/>
      <c r="UPA45" s="1"/>
      <c r="UPB45" s="1"/>
      <c r="UPC45" s="1"/>
      <c r="UPD45" s="1"/>
      <c r="UPE45" s="1"/>
      <c r="UPF45" s="1"/>
      <c r="UPG45" s="1"/>
      <c r="UPH45" s="1"/>
      <c r="UPI45" s="1"/>
      <c r="UPJ45" s="1"/>
      <c r="UPK45" s="1"/>
      <c r="UPL45" s="1"/>
      <c r="UPM45" s="1"/>
      <c r="UPN45" s="1"/>
      <c r="UPO45" s="1"/>
      <c r="UPP45" s="1"/>
      <c r="UPQ45" s="1"/>
      <c r="UPR45" s="1"/>
      <c r="UPS45" s="1"/>
      <c r="UPT45" s="1"/>
      <c r="UPU45" s="1"/>
      <c r="UPV45" s="1"/>
      <c r="UPW45" s="1"/>
      <c r="UPX45" s="1"/>
      <c r="UPY45" s="1"/>
      <c r="UPZ45" s="1"/>
      <c r="UQA45" s="1"/>
      <c r="UQB45" s="1"/>
      <c r="UQC45" s="1"/>
      <c r="UQD45" s="1"/>
      <c r="UQE45" s="1"/>
      <c r="UQF45" s="1"/>
      <c r="UQG45" s="1"/>
      <c r="UQH45" s="1"/>
      <c r="UQI45" s="1"/>
      <c r="UQJ45" s="1"/>
      <c r="UQK45" s="1"/>
      <c r="UQL45" s="1"/>
      <c r="UQM45" s="1"/>
      <c r="UQN45" s="1"/>
      <c r="UQO45" s="1"/>
      <c r="UQP45" s="1"/>
      <c r="UQQ45" s="1"/>
      <c r="UQR45" s="1"/>
      <c r="UQS45" s="1"/>
      <c r="UQT45" s="1"/>
      <c r="UQU45" s="1"/>
      <c r="UQV45" s="1"/>
      <c r="UQW45" s="1"/>
      <c r="UQX45" s="1"/>
      <c r="UQY45" s="1"/>
      <c r="UQZ45" s="1"/>
      <c r="URA45" s="1"/>
      <c r="URB45" s="1"/>
      <c r="URC45" s="1"/>
      <c r="URD45" s="1"/>
      <c r="URE45" s="1"/>
      <c r="URF45" s="1"/>
      <c r="URG45" s="1"/>
      <c r="URH45" s="1"/>
      <c r="URI45" s="1"/>
      <c r="URJ45" s="1"/>
      <c r="URK45" s="1"/>
      <c r="URL45" s="1"/>
      <c r="URM45" s="1"/>
      <c r="URN45" s="1"/>
      <c r="URO45" s="1"/>
      <c r="URP45" s="1"/>
      <c r="URQ45" s="1"/>
      <c r="URR45" s="1"/>
      <c r="URS45" s="1"/>
      <c r="URT45" s="1"/>
      <c r="URU45" s="1"/>
      <c r="URV45" s="1"/>
      <c r="URW45" s="1"/>
      <c r="URX45" s="1"/>
      <c r="URY45" s="1"/>
      <c r="URZ45" s="1"/>
      <c r="USA45" s="1"/>
      <c r="USB45" s="1"/>
      <c r="USC45" s="1"/>
      <c r="USD45" s="1"/>
      <c r="USE45" s="1"/>
      <c r="USF45" s="1"/>
      <c r="USG45" s="1"/>
      <c r="USH45" s="1"/>
      <c r="USI45" s="1"/>
      <c r="USJ45" s="1"/>
      <c r="USK45" s="1"/>
      <c r="USL45" s="1"/>
      <c r="USM45" s="1"/>
      <c r="USN45" s="1"/>
      <c r="USO45" s="1"/>
      <c r="USP45" s="1"/>
      <c r="USQ45" s="1"/>
      <c r="USR45" s="1"/>
      <c r="USS45" s="1"/>
      <c r="UST45" s="1"/>
      <c r="USU45" s="1"/>
      <c r="USV45" s="1"/>
      <c r="USW45" s="1"/>
      <c r="USX45" s="1"/>
      <c r="USY45" s="1"/>
      <c r="USZ45" s="1"/>
      <c r="UTA45" s="1"/>
      <c r="UTB45" s="1"/>
      <c r="UTC45" s="1"/>
      <c r="UTD45" s="1"/>
      <c r="UTE45" s="1"/>
      <c r="UTF45" s="1"/>
      <c r="UTG45" s="1"/>
      <c r="UTH45" s="1"/>
      <c r="UTI45" s="1"/>
      <c r="UTJ45" s="1"/>
      <c r="UTK45" s="1"/>
      <c r="UTL45" s="1"/>
      <c r="UTM45" s="1"/>
      <c r="UTN45" s="1"/>
      <c r="UTO45" s="1"/>
      <c r="UTP45" s="1"/>
      <c r="UTQ45" s="1"/>
      <c r="UTR45" s="1"/>
      <c r="UTS45" s="1"/>
      <c r="UTT45" s="1"/>
      <c r="UTU45" s="1"/>
      <c r="UTV45" s="1"/>
      <c r="UTW45" s="1"/>
      <c r="UTX45" s="1"/>
      <c r="UTY45" s="1"/>
      <c r="UTZ45" s="1"/>
      <c r="UUA45" s="1"/>
      <c r="UUB45" s="1"/>
      <c r="UUC45" s="1"/>
      <c r="UUD45" s="1"/>
      <c r="UUE45" s="1"/>
      <c r="UUF45" s="1"/>
      <c r="UUG45" s="1"/>
      <c r="UUH45" s="1"/>
      <c r="UUI45" s="1"/>
      <c r="UUJ45" s="1"/>
      <c r="UUK45" s="1"/>
      <c r="UUL45" s="1"/>
      <c r="UUM45" s="1"/>
      <c r="UUN45" s="1"/>
      <c r="UUO45" s="1"/>
      <c r="UUP45" s="1"/>
      <c r="UUQ45" s="1"/>
      <c r="UUR45" s="1"/>
      <c r="UUS45" s="1"/>
      <c r="UUT45" s="1"/>
      <c r="UUU45" s="1"/>
      <c r="UUV45" s="1"/>
      <c r="UUW45" s="1"/>
      <c r="UUX45" s="1"/>
      <c r="UUY45" s="1"/>
      <c r="UUZ45" s="1"/>
      <c r="UVA45" s="1"/>
      <c r="UVB45" s="1"/>
      <c r="UVC45" s="1"/>
      <c r="UVD45" s="1"/>
      <c r="UVE45" s="1"/>
      <c r="UVF45" s="1"/>
      <c r="UVG45" s="1"/>
      <c r="UVH45" s="1"/>
      <c r="UVI45" s="1"/>
      <c r="UVJ45" s="1"/>
      <c r="UVK45" s="1"/>
      <c r="UVL45" s="1"/>
      <c r="UVM45" s="1"/>
      <c r="UVN45" s="1"/>
      <c r="UVO45" s="1"/>
      <c r="UVP45" s="1"/>
      <c r="UVQ45" s="1"/>
      <c r="UVR45" s="1"/>
      <c r="UVS45" s="1"/>
      <c r="UVT45" s="1"/>
      <c r="UVU45" s="1"/>
      <c r="UVV45" s="1"/>
      <c r="UVW45" s="1"/>
      <c r="UVX45" s="1"/>
      <c r="UVY45" s="1"/>
      <c r="UVZ45" s="1"/>
      <c r="UWA45" s="1"/>
      <c r="UWB45" s="1"/>
      <c r="UWC45" s="1"/>
      <c r="UWD45" s="1"/>
      <c r="UWE45" s="1"/>
      <c r="UWF45" s="1"/>
      <c r="UWG45" s="1"/>
      <c r="UWH45" s="1"/>
      <c r="UWI45" s="1"/>
      <c r="UWJ45" s="1"/>
      <c r="UWK45" s="1"/>
      <c r="UWL45" s="1"/>
      <c r="UWM45" s="1"/>
      <c r="UWN45" s="1"/>
      <c r="UWO45" s="1"/>
      <c r="UWP45" s="1"/>
      <c r="UWQ45" s="1"/>
      <c r="UWR45" s="1"/>
      <c r="UWS45" s="1"/>
      <c r="UWT45" s="1"/>
      <c r="UWU45" s="1"/>
      <c r="UWV45" s="1"/>
      <c r="UWW45" s="1"/>
      <c r="UWX45" s="1"/>
      <c r="UWY45" s="1"/>
      <c r="UWZ45" s="1"/>
      <c r="UXA45" s="1"/>
      <c r="UXB45" s="1"/>
      <c r="UXC45" s="1"/>
      <c r="UXD45" s="1"/>
      <c r="UXE45" s="1"/>
      <c r="UXF45" s="1"/>
      <c r="UXG45" s="1"/>
      <c r="UXH45" s="1"/>
      <c r="UXI45" s="1"/>
      <c r="UXJ45" s="1"/>
      <c r="UXK45" s="1"/>
      <c r="UXL45" s="1"/>
      <c r="UXM45" s="1"/>
      <c r="UXN45" s="1"/>
      <c r="UXO45" s="1"/>
      <c r="UXP45" s="1"/>
      <c r="UXQ45" s="1"/>
      <c r="UXR45" s="1"/>
      <c r="UXS45" s="1"/>
      <c r="UXT45" s="1"/>
      <c r="UXU45" s="1"/>
      <c r="UXV45" s="1"/>
      <c r="UXW45" s="1"/>
      <c r="UXX45" s="1"/>
      <c r="UXY45" s="1"/>
      <c r="UXZ45" s="1"/>
      <c r="UYA45" s="1"/>
      <c r="UYB45" s="1"/>
      <c r="UYC45" s="1"/>
      <c r="UYD45" s="1"/>
      <c r="UYE45" s="1"/>
      <c r="UYF45" s="1"/>
      <c r="UYG45" s="1"/>
      <c r="UYH45" s="1"/>
      <c r="UYI45" s="1"/>
      <c r="UYJ45" s="1"/>
      <c r="UYK45" s="1"/>
      <c r="UYL45" s="1"/>
      <c r="UYM45" s="1"/>
      <c r="UYN45" s="1"/>
      <c r="UYO45" s="1"/>
      <c r="UYP45" s="1"/>
      <c r="UYQ45" s="1"/>
      <c r="UYR45" s="1"/>
      <c r="UYS45" s="1"/>
      <c r="UYT45" s="1"/>
      <c r="UYU45" s="1"/>
      <c r="UYV45" s="1"/>
      <c r="UYW45" s="1"/>
      <c r="UYX45" s="1"/>
      <c r="UYY45" s="1"/>
      <c r="UYZ45" s="1"/>
      <c r="UZA45" s="1"/>
      <c r="UZB45" s="1"/>
      <c r="UZC45" s="1"/>
      <c r="UZD45" s="1"/>
      <c r="UZE45" s="1"/>
      <c r="UZF45" s="1"/>
      <c r="UZG45" s="1"/>
      <c r="UZH45" s="1"/>
      <c r="UZI45" s="1"/>
      <c r="UZJ45" s="1"/>
      <c r="UZK45" s="1"/>
      <c r="UZL45" s="1"/>
      <c r="UZM45" s="1"/>
      <c r="UZN45" s="1"/>
      <c r="UZO45" s="1"/>
      <c r="UZP45" s="1"/>
      <c r="UZQ45" s="1"/>
      <c r="UZR45" s="1"/>
      <c r="UZS45" s="1"/>
      <c r="UZT45" s="1"/>
      <c r="UZU45" s="1"/>
      <c r="UZV45" s="1"/>
      <c r="UZW45" s="1"/>
      <c r="UZX45" s="1"/>
      <c r="UZY45" s="1"/>
      <c r="UZZ45" s="1"/>
      <c r="VAA45" s="1"/>
      <c r="VAB45" s="1"/>
      <c r="VAC45" s="1"/>
      <c r="VAD45" s="1"/>
      <c r="VAE45" s="1"/>
      <c r="VAF45" s="1"/>
      <c r="VAG45" s="1"/>
      <c r="VAH45" s="1"/>
      <c r="VAI45" s="1"/>
      <c r="VAJ45" s="1"/>
      <c r="VAK45" s="1"/>
      <c r="VAL45" s="1"/>
      <c r="VAM45" s="1"/>
      <c r="VAN45" s="1"/>
      <c r="VAO45" s="1"/>
      <c r="VAP45" s="1"/>
      <c r="VAQ45" s="1"/>
      <c r="VAR45" s="1"/>
      <c r="VAS45" s="1"/>
      <c r="VAT45" s="1"/>
      <c r="VAU45" s="1"/>
      <c r="VAV45" s="1"/>
      <c r="VAW45" s="1"/>
      <c r="VAX45" s="1"/>
      <c r="VAY45" s="1"/>
      <c r="VAZ45" s="1"/>
      <c r="VBA45" s="1"/>
      <c r="VBB45" s="1"/>
      <c r="VBC45" s="1"/>
      <c r="VBD45" s="1"/>
      <c r="VBE45" s="1"/>
      <c r="VBF45" s="1"/>
      <c r="VBG45" s="1"/>
      <c r="VBH45" s="1"/>
      <c r="VBI45" s="1"/>
      <c r="VBJ45" s="1"/>
      <c r="VBK45" s="1"/>
      <c r="VBL45" s="1"/>
      <c r="VBM45" s="1"/>
      <c r="VBN45" s="1"/>
      <c r="VBO45" s="1"/>
      <c r="VBP45" s="1"/>
      <c r="VBQ45" s="1"/>
      <c r="VBR45" s="1"/>
      <c r="VBS45" s="1"/>
      <c r="VBT45" s="1"/>
      <c r="VBU45" s="1"/>
      <c r="VBV45" s="1"/>
      <c r="VBW45" s="1"/>
      <c r="VBX45" s="1"/>
      <c r="VBY45" s="1"/>
      <c r="VBZ45" s="1"/>
      <c r="VCA45" s="1"/>
      <c r="VCB45" s="1"/>
      <c r="VCC45" s="1"/>
      <c r="VCD45" s="1"/>
      <c r="VCE45" s="1"/>
      <c r="VCF45" s="1"/>
      <c r="VCG45" s="1"/>
      <c r="VCH45" s="1"/>
      <c r="VCI45" s="1"/>
      <c r="VCJ45" s="1"/>
      <c r="VCK45" s="1"/>
      <c r="VCL45" s="1"/>
      <c r="VCM45" s="1"/>
      <c r="VCN45" s="1"/>
      <c r="VCO45" s="1"/>
      <c r="VCP45" s="1"/>
      <c r="VCQ45" s="1"/>
      <c r="VCR45" s="1"/>
      <c r="VCS45" s="1"/>
      <c r="VCT45" s="1"/>
      <c r="VCU45" s="1"/>
      <c r="VCV45" s="1"/>
      <c r="VCW45" s="1"/>
      <c r="VCX45" s="1"/>
      <c r="VCY45" s="1"/>
      <c r="VCZ45" s="1"/>
      <c r="VDA45" s="1"/>
      <c r="VDB45" s="1"/>
      <c r="VDC45" s="1"/>
      <c r="VDD45" s="1"/>
      <c r="VDE45" s="1"/>
      <c r="VDF45" s="1"/>
      <c r="VDG45" s="1"/>
      <c r="VDH45" s="1"/>
      <c r="VDI45" s="1"/>
      <c r="VDJ45" s="1"/>
      <c r="VDK45" s="1"/>
      <c r="VDL45" s="1"/>
      <c r="VDM45" s="1"/>
      <c r="VDN45" s="1"/>
      <c r="VDO45" s="1"/>
      <c r="VDP45" s="1"/>
      <c r="VDQ45" s="1"/>
      <c r="VDR45" s="1"/>
      <c r="VDS45" s="1"/>
      <c r="VDT45" s="1"/>
      <c r="VDU45" s="1"/>
      <c r="VDV45" s="1"/>
      <c r="VDW45" s="1"/>
      <c r="VDX45" s="1"/>
      <c r="VDY45" s="1"/>
      <c r="VDZ45" s="1"/>
      <c r="VEA45" s="1"/>
      <c r="VEB45" s="1"/>
      <c r="VEC45" s="1"/>
      <c r="VED45" s="1"/>
      <c r="VEE45" s="1"/>
      <c r="VEF45" s="1"/>
      <c r="VEG45" s="1"/>
      <c r="VEH45" s="1"/>
      <c r="VEI45" s="1"/>
      <c r="VEJ45" s="1"/>
      <c r="VEK45" s="1"/>
      <c r="VEL45" s="1"/>
      <c r="VEM45" s="1"/>
      <c r="VEN45" s="1"/>
      <c r="VEO45" s="1"/>
      <c r="VEP45" s="1"/>
      <c r="VEQ45" s="1"/>
      <c r="VER45" s="1"/>
      <c r="VES45" s="1"/>
      <c r="VET45" s="1"/>
      <c r="VEU45" s="1"/>
      <c r="VEV45" s="1"/>
      <c r="VEW45" s="1"/>
      <c r="VEX45" s="1"/>
      <c r="VEY45" s="1"/>
      <c r="VEZ45" s="1"/>
      <c r="VFA45" s="1"/>
      <c r="VFB45" s="1"/>
      <c r="VFC45" s="1"/>
      <c r="VFD45" s="1"/>
      <c r="VFE45" s="1"/>
      <c r="VFF45" s="1"/>
      <c r="VFG45" s="1"/>
      <c r="VFH45" s="1"/>
      <c r="VFI45" s="1"/>
      <c r="VFJ45" s="1"/>
      <c r="VFK45" s="1"/>
      <c r="VFL45" s="1"/>
      <c r="VFM45" s="1"/>
      <c r="VFN45" s="1"/>
      <c r="VFO45" s="1"/>
      <c r="VFP45" s="1"/>
      <c r="VFQ45" s="1"/>
      <c r="VFR45" s="1"/>
      <c r="VFS45" s="1"/>
      <c r="VFT45" s="1"/>
      <c r="VFU45" s="1"/>
      <c r="VFV45" s="1"/>
      <c r="VFW45" s="1"/>
      <c r="VFX45" s="1"/>
      <c r="VFY45" s="1"/>
      <c r="VFZ45" s="1"/>
      <c r="VGA45" s="1"/>
      <c r="VGB45" s="1"/>
      <c r="VGC45" s="1"/>
      <c r="VGD45" s="1"/>
      <c r="VGE45" s="1"/>
      <c r="VGF45" s="1"/>
      <c r="VGG45" s="1"/>
      <c r="VGH45" s="1"/>
      <c r="VGI45" s="1"/>
      <c r="VGJ45" s="1"/>
      <c r="VGK45" s="1"/>
      <c r="VGL45" s="1"/>
      <c r="VGM45" s="1"/>
      <c r="VGN45" s="1"/>
      <c r="VGO45" s="1"/>
      <c r="VGP45" s="1"/>
      <c r="VGQ45" s="1"/>
      <c r="VGR45" s="1"/>
      <c r="VGS45" s="1"/>
      <c r="VGT45" s="1"/>
      <c r="VGU45" s="1"/>
      <c r="VGV45" s="1"/>
      <c r="VGW45" s="1"/>
      <c r="VGX45" s="1"/>
      <c r="VGY45" s="1"/>
      <c r="VGZ45" s="1"/>
      <c r="VHA45" s="1"/>
      <c r="VHB45" s="1"/>
      <c r="VHC45" s="1"/>
      <c r="VHD45" s="1"/>
      <c r="VHE45" s="1"/>
      <c r="VHF45" s="1"/>
      <c r="VHG45" s="1"/>
      <c r="VHH45" s="1"/>
      <c r="VHI45" s="1"/>
      <c r="VHJ45" s="1"/>
      <c r="VHK45" s="1"/>
      <c r="VHL45" s="1"/>
      <c r="VHM45" s="1"/>
      <c r="VHN45" s="1"/>
      <c r="VHO45" s="1"/>
      <c r="VHP45" s="1"/>
      <c r="VHQ45" s="1"/>
      <c r="VHR45" s="1"/>
      <c r="VHS45" s="1"/>
      <c r="VHT45" s="1"/>
      <c r="VHU45" s="1"/>
      <c r="VHV45" s="1"/>
      <c r="VHW45" s="1"/>
      <c r="VHX45" s="1"/>
      <c r="VHY45" s="1"/>
      <c r="VHZ45" s="1"/>
      <c r="VIA45" s="1"/>
      <c r="VIB45" s="1"/>
      <c r="VIC45" s="1"/>
      <c r="VID45" s="1"/>
      <c r="VIE45" s="1"/>
      <c r="VIF45" s="1"/>
      <c r="VIG45" s="1"/>
      <c r="VIH45" s="1"/>
      <c r="VII45" s="1"/>
      <c r="VIJ45" s="1"/>
      <c r="VIK45" s="1"/>
      <c r="VIL45" s="1"/>
      <c r="VIM45" s="1"/>
      <c r="VIN45" s="1"/>
      <c r="VIO45" s="1"/>
      <c r="VIP45" s="1"/>
      <c r="VIQ45" s="1"/>
      <c r="VIR45" s="1"/>
      <c r="VIS45" s="1"/>
      <c r="VIT45" s="1"/>
      <c r="VIU45" s="1"/>
      <c r="VIV45" s="1"/>
      <c r="VIW45" s="1"/>
      <c r="VIX45" s="1"/>
      <c r="VIY45" s="1"/>
      <c r="VIZ45" s="1"/>
      <c r="VJA45" s="1"/>
      <c r="VJB45" s="1"/>
      <c r="VJC45" s="1"/>
      <c r="VJD45" s="1"/>
      <c r="VJE45" s="1"/>
      <c r="VJF45" s="1"/>
      <c r="VJG45" s="1"/>
      <c r="VJH45" s="1"/>
      <c r="VJI45" s="1"/>
      <c r="VJJ45" s="1"/>
      <c r="VJK45" s="1"/>
      <c r="VJL45" s="1"/>
      <c r="VJM45" s="1"/>
      <c r="VJN45" s="1"/>
      <c r="VJO45" s="1"/>
      <c r="VJP45" s="1"/>
      <c r="VJQ45" s="1"/>
      <c r="VJR45" s="1"/>
      <c r="VJS45" s="1"/>
      <c r="VJT45" s="1"/>
      <c r="VJU45" s="1"/>
      <c r="VJV45" s="1"/>
      <c r="VJW45" s="1"/>
      <c r="VJX45" s="1"/>
      <c r="VJY45" s="1"/>
      <c r="VJZ45" s="1"/>
      <c r="VKA45" s="1"/>
      <c r="VKB45" s="1"/>
      <c r="VKC45" s="1"/>
      <c r="VKD45" s="1"/>
      <c r="VKE45" s="1"/>
      <c r="VKF45" s="1"/>
      <c r="VKG45" s="1"/>
      <c r="VKH45" s="1"/>
      <c r="VKI45" s="1"/>
      <c r="VKJ45" s="1"/>
      <c r="VKK45" s="1"/>
      <c r="VKL45" s="1"/>
      <c r="VKM45" s="1"/>
      <c r="VKN45" s="1"/>
      <c r="VKO45" s="1"/>
      <c r="VKP45" s="1"/>
      <c r="VKQ45" s="1"/>
      <c r="VKR45" s="1"/>
      <c r="VKS45" s="1"/>
      <c r="VKT45" s="1"/>
      <c r="VKU45" s="1"/>
      <c r="VKV45" s="1"/>
      <c r="VKW45" s="1"/>
      <c r="VKX45" s="1"/>
      <c r="VKY45" s="1"/>
      <c r="VKZ45" s="1"/>
      <c r="VLA45" s="1"/>
      <c r="VLB45" s="1"/>
      <c r="VLC45" s="1"/>
      <c r="VLD45" s="1"/>
      <c r="VLE45" s="1"/>
      <c r="VLF45" s="1"/>
      <c r="VLG45" s="1"/>
      <c r="VLH45" s="1"/>
      <c r="VLI45" s="1"/>
      <c r="VLJ45" s="1"/>
      <c r="VLK45" s="1"/>
      <c r="VLL45" s="1"/>
      <c r="VLM45" s="1"/>
      <c r="VLN45" s="1"/>
      <c r="VLO45" s="1"/>
      <c r="VLP45" s="1"/>
      <c r="VLQ45" s="1"/>
      <c r="VLR45" s="1"/>
      <c r="VLS45" s="1"/>
      <c r="VLT45" s="1"/>
      <c r="VLU45" s="1"/>
      <c r="VLV45" s="1"/>
      <c r="VLW45" s="1"/>
      <c r="VLX45" s="1"/>
      <c r="VLY45" s="1"/>
      <c r="VLZ45" s="1"/>
      <c r="VMA45" s="1"/>
      <c r="VMB45" s="1"/>
      <c r="VMC45" s="1"/>
      <c r="VMD45" s="1"/>
      <c r="VME45" s="1"/>
      <c r="VMF45" s="1"/>
      <c r="VMG45" s="1"/>
      <c r="VMH45" s="1"/>
      <c r="VMI45" s="1"/>
      <c r="VMJ45" s="1"/>
      <c r="VMK45" s="1"/>
      <c r="VML45" s="1"/>
      <c r="VMM45" s="1"/>
      <c r="VMN45" s="1"/>
      <c r="VMO45" s="1"/>
      <c r="VMP45" s="1"/>
      <c r="VMQ45" s="1"/>
      <c r="VMR45" s="1"/>
      <c r="VMS45" s="1"/>
      <c r="VMT45" s="1"/>
      <c r="VMU45" s="1"/>
      <c r="VMV45" s="1"/>
      <c r="VMW45" s="1"/>
      <c r="VMX45" s="1"/>
      <c r="VMY45" s="1"/>
      <c r="VMZ45" s="1"/>
      <c r="VNA45" s="1"/>
      <c r="VNB45" s="1"/>
      <c r="VNC45" s="1"/>
      <c r="VND45" s="1"/>
      <c r="VNE45" s="1"/>
      <c r="VNF45" s="1"/>
      <c r="VNG45" s="1"/>
      <c r="VNH45" s="1"/>
      <c r="VNI45" s="1"/>
      <c r="VNJ45" s="1"/>
      <c r="VNK45" s="1"/>
      <c r="VNL45" s="1"/>
      <c r="VNM45" s="1"/>
      <c r="VNN45" s="1"/>
      <c r="VNO45" s="1"/>
      <c r="VNP45" s="1"/>
      <c r="VNQ45" s="1"/>
      <c r="VNR45" s="1"/>
      <c r="VNS45" s="1"/>
      <c r="VNT45" s="1"/>
      <c r="VNU45" s="1"/>
      <c r="VNV45" s="1"/>
      <c r="VNW45" s="1"/>
      <c r="VNX45" s="1"/>
      <c r="VNY45" s="1"/>
      <c r="VNZ45" s="1"/>
      <c r="VOA45" s="1"/>
      <c r="VOB45" s="1"/>
      <c r="VOC45" s="1"/>
      <c r="VOD45" s="1"/>
      <c r="VOE45" s="1"/>
      <c r="VOF45" s="1"/>
      <c r="VOG45" s="1"/>
      <c r="VOH45" s="1"/>
      <c r="VOI45" s="1"/>
      <c r="VOJ45" s="1"/>
      <c r="VOK45" s="1"/>
      <c r="VOL45" s="1"/>
      <c r="VOM45" s="1"/>
      <c r="VON45" s="1"/>
      <c r="VOO45" s="1"/>
      <c r="VOP45" s="1"/>
      <c r="VOQ45" s="1"/>
      <c r="VOR45" s="1"/>
      <c r="VOS45" s="1"/>
      <c r="VOT45" s="1"/>
      <c r="VOU45" s="1"/>
      <c r="VOV45" s="1"/>
      <c r="VOW45" s="1"/>
      <c r="VOX45" s="1"/>
      <c r="VOY45" s="1"/>
      <c r="VOZ45" s="1"/>
      <c r="VPA45" s="1"/>
      <c r="VPB45" s="1"/>
      <c r="VPC45" s="1"/>
      <c r="VPD45" s="1"/>
      <c r="VPE45" s="1"/>
      <c r="VPF45" s="1"/>
      <c r="VPG45" s="1"/>
      <c r="VPH45" s="1"/>
      <c r="VPI45" s="1"/>
      <c r="VPJ45" s="1"/>
      <c r="VPK45" s="1"/>
      <c r="VPL45" s="1"/>
      <c r="VPM45" s="1"/>
      <c r="VPN45" s="1"/>
      <c r="VPO45" s="1"/>
      <c r="VPP45" s="1"/>
      <c r="VPQ45" s="1"/>
      <c r="VPR45" s="1"/>
      <c r="VPS45" s="1"/>
      <c r="VPT45" s="1"/>
      <c r="VPU45" s="1"/>
      <c r="VPV45" s="1"/>
      <c r="VPW45" s="1"/>
      <c r="VPX45" s="1"/>
      <c r="VPY45" s="1"/>
      <c r="VPZ45" s="1"/>
      <c r="VQA45" s="1"/>
      <c r="VQB45" s="1"/>
      <c r="VQC45" s="1"/>
      <c r="VQD45" s="1"/>
      <c r="VQE45" s="1"/>
      <c r="VQF45" s="1"/>
      <c r="VQG45" s="1"/>
      <c r="VQH45" s="1"/>
      <c r="VQI45" s="1"/>
      <c r="VQJ45" s="1"/>
      <c r="VQK45" s="1"/>
      <c r="VQL45" s="1"/>
      <c r="VQM45" s="1"/>
      <c r="VQN45" s="1"/>
      <c r="VQO45" s="1"/>
      <c r="VQP45" s="1"/>
      <c r="VQQ45" s="1"/>
      <c r="VQR45" s="1"/>
      <c r="VQS45" s="1"/>
      <c r="VQT45" s="1"/>
      <c r="VQU45" s="1"/>
      <c r="VQV45" s="1"/>
      <c r="VQW45" s="1"/>
      <c r="VQX45" s="1"/>
      <c r="VQY45" s="1"/>
      <c r="VQZ45" s="1"/>
      <c r="VRA45" s="1"/>
      <c r="VRB45" s="1"/>
      <c r="VRC45" s="1"/>
      <c r="VRD45" s="1"/>
      <c r="VRE45" s="1"/>
      <c r="VRF45" s="1"/>
      <c r="VRG45" s="1"/>
      <c r="VRH45" s="1"/>
      <c r="VRI45" s="1"/>
      <c r="VRJ45" s="1"/>
      <c r="VRK45" s="1"/>
      <c r="VRL45" s="1"/>
      <c r="VRM45" s="1"/>
      <c r="VRN45" s="1"/>
      <c r="VRO45" s="1"/>
      <c r="VRP45" s="1"/>
      <c r="VRQ45" s="1"/>
      <c r="VRR45" s="1"/>
      <c r="VRS45" s="1"/>
      <c r="VRT45" s="1"/>
      <c r="VRU45" s="1"/>
      <c r="VRV45" s="1"/>
      <c r="VRW45" s="1"/>
      <c r="VRX45" s="1"/>
      <c r="VRY45" s="1"/>
      <c r="VRZ45" s="1"/>
      <c r="VSA45" s="1"/>
      <c r="VSB45" s="1"/>
      <c r="VSC45" s="1"/>
      <c r="VSD45" s="1"/>
      <c r="VSE45" s="1"/>
      <c r="VSF45" s="1"/>
      <c r="VSG45" s="1"/>
      <c r="VSH45" s="1"/>
      <c r="VSI45" s="1"/>
      <c r="VSJ45" s="1"/>
      <c r="VSK45" s="1"/>
      <c r="VSL45" s="1"/>
      <c r="VSM45" s="1"/>
      <c r="VSN45" s="1"/>
      <c r="VSO45" s="1"/>
      <c r="VSP45" s="1"/>
      <c r="VSQ45" s="1"/>
      <c r="VSR45" s="1"/>
      <c r="VSS45" s="1"/>
      <c r="VST45" s="1"/>
      <c r="VSU45" s="1"/>
      <c r="VSV45" s="1"/>
      <c r="VSW45" s="1"/>
      <c r="VSX45" s="1"/>
      <c r="VSY45" s="1"/>
      <c r="VSZ45" s="1"/>
      <c r="VTA45" s="1"/>
      <c r="VTB45" s="1"/>
      <c r="VTC45" s="1"/>
      <c r="VTD45" s="1"/>
      <c r="VTE45" s="1"/>
      <c r="VTF45" s="1"/>
      <c r="VTG45" s="1"/>
      <c r="VTH45" s="1"/>
      <c r="VTI45" s="1"/>
      <c r="VTJ45" s="1"/>
      <c r="VTK45" s="1"/>
      <c r="VTL45" s="1"/>
      <c r="VTM45" s="1"/>
      <c r="VTN45" s="1"/>
      <c r="VTO45" s="1"/>
      <c r="VTP45" s="1"/>
      <c r="VTQ45" s="1"/>
      <c r="VTR45" s="1"/>
      <c r="VTS45" s="1"/>
      <c r="VTT45" s="1"/>
      <c r="VTU45" s="1"/>
      <c r="VTV45" s="1"/>
      <c r="VTW45" s="1"/>
      <c r="VTX45" s="1"/>
      <c r="VTY45" s="1"/>
      <c r="VTZ45" s="1"/>
      <c r="VUA45" s="1"/>
      <c r="VUB45" s="1"/>
      <c r="VUC45" s="1"/>
      <c r="VUD45" s="1"/>
      <c r="VUE45" s="1"/>
      <c r="VUF45" s="1"/>
      <c r="VUG45" s="1"/>
      <c r="VUH45" s="1"/>
      <c r="VUI45" s="1"/>
      <c r="VUJ45" s="1"/>
      <c r="VUK45" s="1"/>
      <c r="VUL45" s="1"/>
      <c r="VUM45" s="1"/>
      <c r="VUN45" s="1"/>
      <c r="VUO45" s="1"/>
      <c r="VUP45" s="1"/>
      <c r="VUQ45" s="1"/>
      <c r="VUR45" s="1"/>
      <c r="VUS45" s="1"/>
      <c r="VUT45" s="1"/>
      <c r="VUU45" s="1"/>
      <c r="VUV45" s="1"/>
      <c r="VUW45" s="1"/>
      <c r="VUX45" s="1"/>
      <c r="VUY45" s="1"/>
      <c r="VUZ45" s="1"/>
      <c r="VVA45" s="1"/>
      <c r="VVB45" s="1"/>
      <c r="VVC45" s="1"/>
      <c r="VVD45" s="1"/>
      <c r="VVE45" s="1"/>
      <c r="VVF45" s="1"/>
      <c r="VVG45" s="1"/>
      <c r="VVH45" s="1"/>
      <c r="VVI45" s="1"/>
      <c r="VVJ45" s="1"/>
      <c r="VVK45" s="1"/>
      <c r="VVL45" s="1"/>
      <c r="VVM45" s="1"/>
      <c r="VVN45" s="1"/>
      <c r="VVO45" s="1"/>
      <c r="VVP45" s="1"/>
      <c r="VVQ45" s="1"/>
      <c r="VVR45" s="1"/>
      <c r="VVS45" s="1"/>
      <c r="VVT45" s="1"/>
      <c r="VVU45" s="1"/>
      <c r="VVV45" s="1"/>
      <c r="VVW45" s="1"/>
      <c r="VVX45" s="1"/>
      <c r="VVY45" s="1"/>
      <c r="VVZ45" s="1"/>
      <c r="VWA45" s="1"/>
      <c r="VWB45" s="1"/>
      <c r="VWC45" s="1"/>
      <c r="VWD45" s="1"/>
      <c r="VWE45" s="1"/>
      <c r="VWF45" s="1"/>
      <c r="VWG45" s="1"/>
      <c r="VWH45" s="1"/>
      <c r="VWI45" s="1"/>
      <c r="VWJ45" s="1"/>
      <c r="VWK45" s="1"/>
      <c r="VWL45" s="1"/>
      <c r="VWM45" s="1"/>
      <c r="VWN45" s="1"/>
      <c r="VWO45" s="1"/>
      <c r="VWP45" s="1"/>
      <c r="VWQ45" s="1"/>
      <c r="VWR45" s="1"/>
      <c r="VWS45" s="1"/>
      <c r="VWT45" s="1"/>
      <c r="VWU45" s="1"/>
      <c r="VWV45" s="1"/>
      <c r="VWW45" s="1"/>
      <c r="VWX45" s="1"/>
      <c r="VWY45" s="1"/>
      <c r="VWZ45" s="1"/>
      <c r="VXA45" s="1"/>
      <c r="VXB45" s="1"/>
      <c r="VXC45" s="1"/>
      <c r="VXD45" s="1"/>
      <c r="VXE45" s="1"/>
      <c r="VXF45" s="1"/>
      <c r="VXG45" s="1"/>
      <c r="VXH45" s="1"/>
      <c r="VXI45" s="1"/>
      <c r="VXJ45" s="1"/>
      <c r="VXK45" s="1"/>
      <c r="VXL45" s="1"/>
      <c r="VXM45" s="1"/>
      <c r="VXN45" s="1"/>
      <c r="VXO45" s="1"/>
      <c r="VXP45" s="1"/>
      <c r="VXQ45" s="1"/>
      <c r="VXR45" s="1"/>
      <c r="VXS45" s="1"/>
      <c r="VXT45" s="1"/>
      <c r="VXU45" s="1"/>
      <c r="VXV45" s="1"/>
      <c r="VXW45" s="1"/>
      <c r="VXX45" s="1"/>
      <c r="VXY45" s="1"/>
      <c r="VXZ45" s="1"/>
      <c r="VYA45" s="1"/>
      <c r="VYB45" s="1"/>
      <c r="VYC45" s="1"/>
      <c r="VYD45" s="1"/>
      <c r="VYE45" s="1"/>
      <c r="VYF45" s="1"/>
      <c r="VYG45" s="1"/>
      <c r="VYH45" s="1"/>
      <c r="VYI45" s="1"/>
      <c r="VYJ45" s="1"/>
      <c r="VYK45" s="1"/>
      <c r="VYL45" s="1"/>
      <c r="VYM45" s="1"/>
      <c r="VYN45" s="1"/>
      <c r="VYO45" s="1"/>
      <c r="VYP45" s="1"/>
      <c r="VYQ45" s="1"/>
      <c r="VYR45" s="1"/>
      <c r="VYS45" s="1"/>
      <c r="VYT45" s="1"/>
      <c r="VYU45" s="1"/>
      <c r="VYV45" s="1"/>
      <c r="VYW45" s="1"/>
      <c r="VYX45" s="1"/>
      <c r="VYY45" s="1"/>
      <c r="VYZ45" s="1"/>
      <c r="VZA45" s="1"/>
      <c r="VZB45" s="1"/>
      <c r="VZC45" s="1"/>
      <c r="VZD45" s="1"/>
      <c r="VZE45" s="1"/>
      <c r="VZF45" s="1"/>
      <c r="VZG45" s="1"/>
      <c r="VZH45" s="1"/>
      <c r="VZI45" s="1"/>
      <c r="VZJ45" s="1"/>
      <c r="VZK45" s="1"/>
      <c r="VZL45" s="1"/>
      <c r="VZM45" s="1"/>
      <c r="VZN45" s="1"/>
      <c r="VZO45" s="1"/>
      <c r="VZP45" s="1"/>
      <c r="VZQ45" s="1"/>
      <c r="VZR45" s="1"/>
      <c r="VZS45" s="1"/>
      <c r="VZT45" s="1"/>
      <c r="VZU45" s="1"/>
      <c r="VZV45" s="1"/>
      <c r="VZW45" s="1"/>
      <c r="VZX45" s="1"/>
      <c r="VZY45" s="1"/>
      <c r="VZZ45" s="1"/>
      <c r="WAA45" s="1"/>
      <c r="WAB45" s="1"/>
      <c r="WAC45" s="1"/>
      <c r="WAD45" s="1"/>
      <c r="WAE45" s="1"/>
      <c r="WAF45" s="1"/>
      <c r="WAG45" s="1"/>
      <c r="WAH45" s="1"/>
      <c r="WAI45" s="1"/>
      <c r="WAJ45" s="1"/>
      <c r="WAK45" s="1"/>
      <c r="WAL45" s="1"/>
      <c r="WAM45" s="1"/>
      <c r="WAN45" s="1"/>
      <c r="WAO45" s="1"/>
      <c r="WAP45" s="1"/>
      <c r="WAQ45" s="1"/>
      <c r="WAR45" s="1"/>
      <c r="WAS45" s="1"/>
      <c r="WAT45" s="1"/>
      <c r="WAU45" s="1"/>
      <c r="WAV45" s="1"/>
      <c r="WAW45" s="1"/>
      <c r="WAX45" s="1"/>
      <c r="WAY45" s="1"/>
      <c r="WAZ45" s="1"/>
      <c r="WBA45" s="1"/>
      <c r="WBB45" s="1"/>
      <c r="WBC45" s="1"/>
      <c r="WBD45" s="1"/>
      <c r="WBE45" s="1"/>
      <c r="WBF45" s="1"/>
      <c r="WBG45" s="1"/>
      <c r="WBH45" s="1"/>
      <c r="WBI45" s="1"/>
      <c r="WBJ45" s="1"/>
      <c r="WBK45" s="1"/>
      <c r="WBL45" s="1"/>
      <c r="WBM45" s="1"/>
      <c r="WBN45" s="1"/>
      <c r="WBO45" s="1"/>
      <c r="WBP45" s="1"/>
      <c r="WBQ45" s="1"/>
      <c r="WBR45" s="1"/>
      <c r="WBS45" s="1"/>
      <c r="WBT45" s="1"/>
      <c r="WBU45" s="1"/>
      <c r="WBV45" s="1"/>
      <c r="WBW45" s="1"/>
      <c r="WBX45" s="1"/>
      <c r="WBY45" s="1"/>
      <c r="WBZ45" s="1"/>
      <c r="WCA45" s="1"/>
      <c r="WCB45" s="1"/>
      <c r="WCC45" s="1"/>
      <c r="WCD45" s="1"/>
      <c r="WCE45" s="1"/>
      <c r="WCF45" s="1"/>
      <c r="WCG45" s="1"/>
      <c r="WCH45" s="1"/>
      <c r="WCI45" s="1"/>
      <c r="WCJ45" s="1"/>
      <c r="WCK45" s="1"/>
      <c r="WCL45" s="1"/>
      <c r="WCM45" s="1"/>
      <c r="WCN45" s="1"/>
      <c r="WCO45" s="1"/>
      <c r="WCP45" s="1"/>
      <c r="WCQ45" s="1"/>
      <c r="WCR45" s="1"/>
      <c r="WCS45" s="1"/>
      <c r="WCT45" s="1"/>
      <c r="WCU45" s="1"/>
      <c r="WCV45" s="1"/>
      <c r="WCW45" s="1"/>
      <c r="WCX45" s="1"/>
      <c r="WCY45" s="1"/>
      <c r="WCZ45" s="1"/>
      <c r="WDA45" s="1"/>
      <c r="WDB45" s="1"/>
      <c r="WDC45" s="1"/>
      <c r="WDD45" s="1"/>
      <c r="WDE45" s="1"/>
      <c r="WDF45" s="1"/>
      <c r="WDG45" s="1"/>
      <c r="WDH45" s="1"/>
      <c r="WDI45" s="1"/>
      <c r="WDJ45" s="1"/>
      <c r="WDK45" s="1"/>
      <c r="WDL45" s="1"/>
      <c r="WDM45" s="1"/>
      <c r="WDN45" s="1"/>
      <c r="WDO45" s="1"/>
      <c r="WDP45" s="1"/>
      <c r="WDQ45" s="1"/>
      <c r="WDR45" s="1"/>
      <c r="WDS45" s="1"/>
      <c r="WDT45" s="1"/>
      <c r="WDU45" s="1"/>
      <c r="WDV45" s="1"/>
      <c r="WDW45" s="1"/>
      <c r="WDX45" s="1"/>
      <c r="WDY45" s="1"/>
      <c r="WDZ45" s="1"/>
      <c r="WEA45" s="1"/>
      <c r="WEB45" s="1"/>
      <c r="WEC45" s="1"/>
      <c r="WED45" s="1"/>
      <c r="WEE45" s="1"/>
      <c r="WEF45" s="1"/>
      <c r="WEG45" s="1"/>
      <c r="WEH45" s="1"/>
      <c r="WEI45" s="1"/>
      <c r="WEJ45" s="1"/>
      <c r="WEK45" s="1"/>
      <c r="WEL45" s="1"/>
      <c r="WEM45" s="1"/>
      <c r="WEN45" s="1"/>
      <c r="WEO45" s="1"/>
      <c r="WEP45" s="1"/>
      <c r="WEQ45" s="1"/>
      <c r="WER45" s="1"/>
      <c r="WES45" s="1"/>
      <c r="WET45" s="1"/>
      <c r="WEU45" s="1"/>
      <c r="WEV45" s="1"/>
      <c r="WEW45" s="1"/>
      <c r="WEX45" s="1"/>
      <c r="WEY45" s="1"/>
      <c r="WEZ45" s="1"/>
      <c r="WFA45" s="1"/>
      <c r="WFB45" s="1"/>
      <c r="WFC45" s="1"/>
      <c r="WFD45" s="1"/>
      <c r="WFE45" s="1"/>
      <c r="WFF45" s="1"/>
      <c r="WFG45" s="1"/>
      <c r="WFH45" s="1"/>
      <c r="WFI45" s="1"/>
      <c r="WFJ45" s="1"/>
      <c r="WFK45" s="1"/>
      <c r="WFL45" s="1"/>
      <c r="WFM45" s="1"/>
      <c r="WFN45" s="1"/>
      <c r="WFO45" s="1"/>
      <c r="WFP45" s="1"/>
      <c r="WFQ45" s="1"/>
      <c r="WFR45" s="1"/>
      <c r="WFS45" s="1"/>
      <c r="WFT45" s="1"/>
      <c r="WFU45" s="1"/>
      <c r="WFV45" s="1"/>
      <c r="WFW45" s="1"/>
      <c r="WFX45" s="1"/>
      <c r="WFY45" s="1"/>
      <c r="WFZ45" s="1"/>
      <c r="WGA45" s="1"/>
      <c r="WGB45" s="1"/>
      <c r="WGC45" s="1"/>
      <c r="WGD45" s="1"/>
      <c r="WGE45" s="1"/>
      <c r="WGF45" s="1"/>
      <c r="WGG45" s="1"/>
      <c r="WGH45" s="1"/>
      <c r="WGI45" s="1"/>
      <c r="WGJ45" s="1"/>
      <c r="WGK45" s="1"/>
      <c r="WGL45" s="1"/>
      <c r="WGM45" s="1"/>
      <c r="WGN45" s="1"/>
      <c r="WGO45" s="1"/>
      <c r="WGP45" s="1"/>
      <c r="WGQ45" s="1"/>
      <c r="WGR45" s="1"/>
      <c r="WGS45" s="1"/>
      <c r="WGT45" s="1"/>
      <c r="WGU45" s="1"/>
      <c r="WGV45" s="1"/>
      <c r="WGW45" s="1"/>
      <c r="WGX45" s="1"/>
      <c r="WGY45" s="1"/>
      <c r="WGZ45" s="1"/>
      <c r="WHA45" s="1"/>
      <c r="WHB45" s="1"/>
      <c r="WHC45" s="1"/>
      <c r="WHD45" s="1"/>
      <c r="WHE45" s="1"/>
      <c r="WHF45" s="1"/>
      <c r="WHG45" s="1"/>
      <c r="WHH45" s="1"/>
      <c r="WHI45" s="1"/>
      <c r="WHJ45" s="1"/>
      <c r="WHK45" s="1"/>
      <c r="WHL45" s="1"/>
      <c r="WHM45" s="1"/>
      <c r="WHN45" s="1"/>
      <c r="WHO45" s="1"/>
      <c r="WHP45" s="1"/>
      <c r="WHQ45" s="1"/>
      <c r="WHR45" s="1"/>
      <c r="WHS45" s="1"/>
      <c r="WHT45" s="1"/>
      <c r="WHU45" s="1"/>
      <c r="WHV45" s="1"/>
      <c r="WHW45" s="1"/>
      <c r="WHX45" s="1"/>
      <c r="WHY45" s="1"/>
      <c r="WHZ45" s="1"/>
      <c r="WIA45" s="1"/>
      <c r="WIB45" s="1"/>
      <c r="WIC45" s="1"/>
      <c r="WID45" s="1"/>
      <c r="WIE45" s="1"/>
      <c r="WIF45" s="1"/>
      <c r="WIG45" s="1"/>
      <c r="WIH45" s="1"/>
      <c r="WII45" s="1"/>
      <c r="WIJ45" s="1"/>
      <c r="WIK45" s="1"/>
      <c r="WIL45" s="1"/>
      <c r="WIM45" s="1"/>
      <c r="WIN45" s="1"/>
      <c r="WIO45" s="1"/>
      <c r="WIP45" s="1"/>
      <c r="WIQ45" s="1"/>
      <c r="WIR45" s="1"/>
      <c r="WIS45" s="1"/>
      <c r="WIT45" s="1"/>
      <c r="WIU45" s="1"/>
      <c r="WIV45" s="1"/>
      <c r="WIW45" s="1"/>
      <c r="WIX45" s="1"/>
      <c r="WIY45" s="1"/>
      <c r="WIZ45" s="1"/>
      <c r="WJA45" s="1"/>
      <c r="WJB45" s="1"/>
      <c r="WJC45" s="1"/>
      <c r="WJD45" s="1"/>
      <c r="WJE45" s="1"/>
      <c r="WJF45" s="1"/>
      <c r="WJG45" s="1"/>
      <c r="WJH45" s="1"/>
      <c r="WJI45" s="1"/>
      <c r="WJJ45" s="1"/>
      <c r="WJK45" s="1"/>
      <c r="WJL45" s="1"/>
      <c r="WJM45" s="1"/>
      <c r="WJN45" s="1"/>
      <c r="WJO45" s="1"/>
      <c r="WJP45" s="1"/>
      <c r="WJQ45" s="1"/>
      <c r="WJR45" s="1"/>
      <c r="WJS45" s="1"/>
      <c r="WJT45" s="1"/>
      <c r="WJU45" s="1"/>
      <c r="WJV45" s="1"/>
      <c r="WJW45" s="1"/>
      <c r="WJX45" s="1"/>
      <c r="WJY45" s="1"/>
      <c r="WJZ45" s="1"/>
      <c r="WKA45" s="1"/>
      <c r="WKB45" s="1"/>
      <c r="WKC45" s="1"/>
      <c r="WKD45" s="1"/>
      <c r="WKE45" s="1"/>
      <c r="WKF45" s="1"/>
      <c r="WKG45" s="1"/>
      <c r="WKH45" s="1"/>
      <c r="WKI45" s="1"/>
      <c r="WKJ45" s="1"/>
      <c r="WKK45" s="1"/>
      <c r="WKL45" s="1"/>
      <c r="WKM45" s="1"/>
      <c r="WKN45" s="1"/>
      <c r="WKO45" s="1"/>
      <c r="WKP45" s="1"/>
      <c r="WKQ45" s="1"/>
      <c r="WKR45" s="1"/>
      <c r="WKS45" s="1"/>
      <c r="WKT45" s="1"/>
      <c r="WKU45" s="1"/>
      <c r="WKV45" s="1"/>
      <c r="WKW45" s="1"/>
      <c r="WKX45" s="1"/>
      <c r="WKY45" s="1"/>
      <c r="WKZ45" s="1"/>
      <c r="WLA45" s="1"/>
      <c r="WLB45" s="1"/>
      <c r="WLC45" s="1"/>
      <c r="WLD45" s="1"/>
      <c r="WLE45" s="1"/>
      <c r="WLF45" s="1"/>
      <c r="WLG45" s="1"/>
      <c r="WLH45" s="1"/>
      <c r="WLI45" s="1"/>
      <c r="WLJ45" s="1"/>
      <c r="WLK45" s="1"/>
      <c r="WLL45" s="1"/>
      <c r="WLM45" s="1"/>
      <c r="WLN45" s="1"/>
      <c r="WLO45" s="1"/>
      <c r="WLP45" s="1"/>
      <c r="WLQ45" s="1"/>
      <c r="WLR45" s="1"/>
      <c r="WLS45" s="1"/>
      <c r="WLT45" s="1"/>
      <c r="WLU45" s="1"/>
      <c r="WLV45" s="1"/>
      <c r="WLW45" s="1"/>
      <c r="WLX45" s="1"/>
      <c r="WLY45" s="1"/>
      <c r="WLZ45" s="1"/>
      <c r="WMA45" s="1"/>
      <c r="WMB45" s="1"/>
      <c r="WMC45" s="1"/>
      <c r="WMD45" s="1"/>
      <c r="WME45" s="1"/>
      <c r="WMF45" s="1"/>
      <c r="WMG45" s="1"/>
      <c r="WMH45" s="1"/>
      <c r="WMI45" s="1"/>
      <c r="WMJ45" s="1"/>
      <c r="WMK45" s="1"/>
      <c r="WML45" s="1"/>
      <c r="WMM45" s="1"/>
      <c r="WMN45" s="1"/>
      <c r="WMO45" s="1"/>
      <c r="WMP45" s="1"/>
      <c r="WMQ45" s="1"/>
      <c r="WMR45" s="1"/>
      <c r="WMS45" s="1"/>
      <c r="WMT45" s="1"/>
      <c r="WMU45" s="1"/>
      <c r="WMV45" s="1"/>
      <c r="WMW45" s="1"/>
      <c r="WMX45" s="1"/>
      <c r="WMY45" s="1"/>
      <c r="WMZ45" s="1"/>
      <c r="WNA45" s="1"/>
      <c r="WNB45" s="1"/>
      <c r="WNC45" s="1"/>
      <c r="WND45" s="1"/>
      <c r="WNE45" s="1"/>
      <c r="WNF45" s="1"/>
      <c r="WNG45" s="1"/>
      <c r="WNH45" s="1"/>
      <c r="WNI45" s="1"/>
      <c r="WNJ45" s="1"/>
      <c r="WNK45" s="1"/>
      <c r="WNL45" s="1"/>
      <c r="WNM45" s="1"/>
      <c r="WNN45" s="1"/>
      <c r="WNO45" s="1"/>
      <c r="WNP45" s="1"/>
      <c r="WNQ45" s="1"/>
      <c r="WNR45" s="1"/>
      <c r="WNS45" s="1"/>
      <c r="WNT45" s="1"/>
      <c r="WNU45" s="1"/>
      <c r="WNV45" s="1"/>
      <c r="WNW45" s="1"/>
      <c r="WNX45" s="1"/>
      <c r="WNY45" s="1"/>
      <c r="WNZ45" s="1"/>
      <c r="WOA45" s="1"/>
      <c r="WOB45" s="1"/>
      <c r="WOC45" s="1"/>
      <c r="WOD45" s="1"/>
      <c r="WOE45" s="1"/>
      <c r="WOF45" s="1"/>
      <c r="WOG45" s="1"/>
      <c r="WOH45" s="1"/>
      <c r="WOI45" s="1"/>
      <c r="WOJ45" s="1"/>
      <c r="WOK45" s="1"/>
      <c r="WOL45" s="1"/>
      <c r="WOM45" s="1"/>
      <c r="WON45" s="1"/>
      <c r="WOO45" s="1"/>
      <c r="WOP45" s="1"/>
      <c r="WOQ45" s="1"/>
      <c r="WOR45" s="1"/>
      <c r="WOS45" s="1"/>
      <c r="WOT45" s="1"/>
      <c r="WOU45" s="1"/>
      <c r="WOV45" s="1"/>
      <c r="WOW45" s="1"/>
      <c r="WOX45" s="1"/>
      <c r="WOY45" s="1"/>
      <c r="WOZ45" s="1"/>
      <c r="WPA45" s="1"/>
      <c r="WPB45" s="1"/>
      <c r="WPC45" s="1"/>
      <c r="WPD45" s="1"/>
      <c r="WPE45" s="1"/>
      <c r="WPF45" s="1"/>
      <c r="WPG45" s="1"/>
      <c r="WPH45" s="1"/>
      <c r="WPI45" s="1"/>
      <c r="WPJ45" s="1"/>
      <c r="WPK45" s="1"/>
      <c r="WPL45" s="1"/>
      <c r="WPM45" s="1"/>
      <c r="WPN45" s="1"/>
      <c r="WPO45" s="1"/>
      <c r="WPP45" s="1"/>
      <c r="WPQ45" s="1"/>
      <c r="WPR45" s="1"/>
      <c r="WPS45" s="1"/>
      <c r="WPT45" s="1"/>
      <c r="WPU45" s="1"/>
      <c r="WPV45" s="1"/>
      <c r="WPW45" s="1"/>
      <c r="WPX45" s="1"/>
      <c r="WPY45" s="1"/>
      <c r="WPZ45" s="1"/>
      <c r="WQA45" s="1"/>
      <c r="WQB45" s="1"/>
      <c r="WQC45" s="1"/>
      <c r="WQD45" s="1"/>
      <c r="WQE45" s="1"/>
      <c r="WQF45" s="1"/>
      <c r="WQG45" s="1"/>
      <c r="WQH45" s="1"/>
      <c r="WQI45" s="1"/>
      <c r="WQJ45" s="1"/>
      <c r="WQK45" s="1"/>
      <c r="WQL45" s="1"/>
      <c r="WQM45" s="1"/>
      <c r="WQN45" s="1"/>
      <c r="WQO45" s="1"/>
      <c r="WQP45" s="1"/>
      <c r="WQQ45" s="1"/>
      <c r="WQR45" s="1"/>
      <c r="WQS45" s="1"/>
      <c r="WQT45" s="1"/>
      <c r="WQU45" s="1"/>
      <c r="WQV45" s="1"/>
      <c r="WQW45" s="1"/>
      <c r="WQX45" s="1"/>
      <c r="WQY45" s="1"/>
      <c r="WQZ45" s="1"/>
      <c r="WRA45" s="1"/>
      <c r="WRB45" s="1"/>
      <c r="WRC45" s="1"/>
      <c r="WRD45" s="1"/>
      <c r="WRE45" s="1"/>
      <c r="WRF45" s="1"/>
      <c r="WRG45" s="1"/>
      <c r="WRH45" s="1"/>
      <c r="WRI45" s="1"/>
      <c r="WRJ45" s="1"/>
      <c r="WRK45" s="1"/>
      <c r="WRL45" s="1"/>
      <c r="WRM45" s="1"/>
      <c r="WRN45" s="1"/>
      <c r="WRO45" s="1"/>
      <c r="WRP45" s="1"/>
      <c r="WRQ45" s="1"/>
      <c r="WRR45" s="1"/>
      <c r="WRS45" s="1"/>
      <c r="WRT45" s="1"/>
      <c r="WRU45" s="1"/>
      <c r="WRV45" s="1"/>
      <c r="WRW45" s="1"/>
      <c r="WRX45" s="1"/>
      <c r="WRY45" s="1"/>
      <c r="WRZ45" s="1"/>
      <c r="WSA45" s="1"/>
      <c r="WSB45" s="1"/>
      <c r="WSC45" s="1"/>
      <c r="WSD45" s="1"/>
      <c r="WSE45" s="1"/>
      <c r="WSF45" s="1"/>
      <c r="WSG45" s="1"/>
      <c r="WSH45" s="1"/>
      <c r="WSI45" s="1"/>
      <c r="WSJ45" s="1"/>
      <c r="WSK45" s="1"/>
      <c r="WSL45" s="1"/>
      <c r="WSM45" s="1"/>
      <c r="WSN45" s="1"/>
      <c r="WSO45" s="1"/>
      <c r="WSP45" s="1"/>
      <c r="WSQ45" s="1"/>
      <c r="WSR45" s="1"/>
      <c r="WSS45" s="1"/>
      <c r="WST45" s="1"/>
      <c r="WSU45" s="1"/>
      <c r="WSV45" s="1"/>
      <c r="WSW45" s="1"/>
      <c r="WSX45" s="1"/>
      <c r="WSY45" s="1"/>
      <c r="WSZ45" s="1"/>
      <c r="WTA45" s="1"/>
      <c r="WTB45" s="1"/>
      <c r="WTC45" s="1"/>
      <c r="WTD45" s="1"/>
      <c r="WTE45" s="1"/>
      <c r="WTF45" s="1"/>
      <c r="WTG45" s="1"/>
      <c r="WTH45" s="1"/>
      <c r="WTI45" s="1"/>
      <c r="WTJ45" s="1"/>
      <c r="WTK45" s="1"/>
      <c r="WTL45" s="1"/>
      <c r="WTM45" s="1"/>
      <c r="WTN45" s="1"/>
      <c r="WTO45" s="1"/>
      <c r="WTP45" s="1"/>
      <c r="WTQ45" s="1"/>
      <c r="WTR45" s="1"/>
      <c r="WTS45" s="1"/>
      <c r="WTT45" s="1"/>
      <c r="WTU45" s="1"/>
      <c r="WTV45" s="1"/>
      <c r="WTW45" s="1"/>
      <c r="WTX45" s="1"/>
      <c r="WTY45" s="1"/>
      <c r="WTZ45" s="1"/>
      <c r="WUA45" s="1"/>
      <c r="WUB45" s="1"/>
      <c r="WUC45" s="1"/>
      <c r="WUD45" s="1"/>
      <c r="WUE45" s="1"/>
      <c r="WUF45" s="1"/>
      <c r="WUG45" s="1"/>
      <c r="WUH45" s="1"/>
      <c r="WUI45" s="1"/>
      <c r="WUJ45" s="1"/>
      <c r="WUK45" s="1"/>
      <c r="WUL45" s="1"/>
      <c r="WUM45" s="1"/>
      <c r="WUN45" s="1"/>
      <c r="WUO45" s="1"/>
      <c r="WUP45" s="1"/>
      <c r="WUQ45" s="1"/>
      <c r="WUR45" s="1"/>
      <c r="WUS45" s="1"/>
      <c r="WUT45" s="1"/>
      <c r="WUU45" s="1"/>
      <c r="WUV45" s="1"/>
      <c r="WUW45" s="1"/>
      <c r="WUX45" s="1"/>
      <c r="WUY45" s="1"/>
      <c r="WUZ45" s="1"/>
      <c r="WVA45" s="1"/>
      <c r="WVB45" s="1"/>
      <c r="WVC45" s="1"/>
      <c r="WVD45" s="1"/>
      <c r="WVE45" s="1"/>
      <c r="WVF45" s="1"/>
      <c r="WVG45" s="1"/>
      <c r="WVH45" s="1"/>
      <c r="WVI45" s="1"/>
      <c r="WVJ45" s="1"/>
      <c r="WVK45" s="1"/>
      <c r="WVL45" s="1"/>
      <c r="WVM45" s="1"/>
      <c r="WVN45" s="1"/>
      <c r="WVO45" s="1"/>
      <c r="WVP45" s="1"/>
      <c r="WVQ45" s="1"/>
      <c r="WVR45" s="1"/>
      <c r="WVS45" s="1"/>
      <c r="WVT45" s="1"/>
      <c r="WVU45" s="1"/>
      <c r="WVV45" s="1"/>
      <c r="WVW45" s="1"/>
      <c r="WVX45" s="1"/>
      <c r="WVY45" s="1"/>
      <c r="WVZ45" s="1"/>
      <c r="WWA45" s="1"/>
      <c r="WWB45" s="1"/>
      <c r="WWC45" s="1"/>
      <c r="WWD45" s="1"/>
      <c r="WWE45" s="1"/>
      <c r="WWF45" s="1"/>
      <c r="WWG45" s="1"/>
      <c r="WWH45" s="1"/>
      <c r="WWI45" s="1"/>
      <c r="WWJ45" s="1"/>
      <c r="WWK45" s="1"/>
      <c r="WWL45" s="1"/>
      <c r="WWM45" s="1"/>
      <c r="WWN45" s="1"/>
      <c r="WWO45" s="1"/>
      <c r="WWP45" s="1"/>
      <c r="WWQ45" s="1"/>
      <c r="WWR45" s="1"/>
      <c r="WWS45" s="1"/>
      <c r="WWT45" s="1"/>
      <c r="WWU45" s="1"/>
      <c r="WWV45" s="1"/>
      <c r="WWW45" s="1"/>
      <c r="WWX45" s="1"/>
      <c r="WWY45" s="1"/>
      <c r="WWZ45" s="1"/>
      <c r="WXA45" s="1"/>
      <c r="WXB45" s="1"/>
      <c r="WXC45" s="1"/>
      <c r="WXD45" s="1"/>
      <c r="WXE45" s="1"/>
      <c r="WXF45" s="1"/>
      <c r="WXG45" s="1"/>
      <c r="WXH45" s="1"/>
      <c r="WXI45" s="1"/>
      <c r="WXJ45" s="1"/>
      <c r="WXK45" s="1"/>
      <c r="WXL45" s="1"/>
      <c r="WXM45" s="1"/>
      <c r="WXN45" s="1"/>
      <c r="WXO45" s="1"/>
      <c r="WXP45" s="1"/>
      <c r="WXQ45" s="1"/>
      <c r="WXR45" s="1"/>
      <c r="WXS45" s="1"/>
      <c r="WXT45" s="1"/>
      <c r="WXU45" s="1"/>
      <c r="WXV45" s="1"/>
      <c r="WXW45" s="1"/>
      <c r="WXX45" s="1"/>
      <c r="WXY45" s="1"/>
      <c r="WXZ45" s="1"/>
      <c r="WYA45" s="1"/>
      <c r="WYB45" s="1"/>
      <c r="WYC45" s="1"/>
      <c r="WYD45" s="1"/>
      <c r="WYE45" s="1"/>
      <c r="WYF45" s="1"/>
      <c r="WYG45" s="1"/>
      <c r="WYH45" s="1"/>
      <c r="WYI45" s="1"/>
      <c r="WYJ45" s="1"/>
      <c r="WYK45" s="1"/>
      <c r="WYL45" s="1"/>
      <c r="WYM45" s="1"/>
      <c r="WYN45" s="1"/>
      <c r="WYO45" s="1"/>
      <c r="WYP45" s="1"/>
      <c r="WYQ45" s="1"/>
      <c r="WYR45" s="1"/>
      <c r="WYS45" s="1"/>
      <c r="WYT45" s="1"/>
      <c r="WYU45" s="1"/>
      <c r="WYV45" s="1"/>
      <c r="WYW45" s="1"/>
      <c r="WYX45" s="1"/>
      <c r="WYY45" s="1"/>
      <c r="WYZ45" s="1"/>
      <c r="WZA45" s="1"/>
      <c r="WZB45" s="1"/>
      <c r="WZC45" s="1"/>
      <c r="WZD45" s="1"/>
      <c r="WZE45" s="1"/>
      <c r="WZF45" s="1"/>
      <c r="WZG45" s="1"/>
      <c r="WZH45" s="1"/>
      <c r="WZI45" s="1"/>
      <c r="WZJ45" s="1"/>
      <c r="WZK45" s="1"/>
      <c r="WZL45" s="1"/>
      <c r="WZM45" s="1"/>
      <c r="WZN45" s="1"/>
      <c r="WZO45" s="1"/>
      <c r="WZP45" s="1"/>
      <c r="WZQ45" s="1"/>
      <c r="WZR45" s="1"/>
      <c r="WZS45" s="1"/>
      <c r="WZT45" s="1"/>
      <c r="WZU45" s="1"/>
      <c r="WZV45" s="1"/>
      <c r="WZW45" s="1"/>
      <c r="WZX45" s="1"/>
      <c r="WZY45" s="1"/>
      <c r="WZZ45" s="1"/>
      <c r="XAA45" s="1"/>
      <c r="XAB45" s="1"/>
      <c r="XAC45" s="1"/>
      <c r="XAD45" s="1"/>
      <c r="XAE45" s="1"/>
      <c r="XAF45" s="1"/>
      <c r="XAG45" s="1"/>
      <c r="XAH45" s="1"/>
      <c r="XAI45" s="1"/>
      <c r="XAJ45" s="1"/>
      <c r="XAK45" s="1"/>
      <c r="XAL45" s="1"/>
      <c r="XAM45" s="1"/>
      <c r="XAN45" s="1"/>
      <c r="XAO45" s="1"/>
      <c r="XAP45" s="1"/>
      <c r="XAQ45" s="1"/>
      <c r="XAR45" s="1"/>
      <c r="XAS45" s="1"/>
      <c r="XAT45" s="1"/>
      <c r="XAU45" s="1"/>
      <c r="XAV45" s="1"/>
      <c r="XAW45" s="1"/>
      <c r="XAX45" s="1"/>
      <c r="XAY45" s="1"/>
      <c r="XAZ45" s="1"/>
      <c r="XBA45" s="1"/>
      <c r="XBB45" s="1"/>
      <c r="XBC45" s="1"/>
      <c r="XBD45" s="1"/>
      <c r="XBE45" s="1"/>
      <c r="XBF45" s="1"/>
      <c r="XBG45" s="1"/>
      <c r="XBH45" s="1"/>
      <c r="XBI45" s="1"/>
      <c r="XBJ45" s="1"/>
      <c r="XBK45" s="1"/>
      <c r="XBL45" s="1"/>
      <c r="XBM45" s="1"/>
      <c r="XBN45" s="1"/>
      <c r="XBO45" s="1"/>
      <c r="XBP45" s="1"/>
      <c r="XBQ45" s="1"/>
      <c r="XBR45" s="1"/>
      <c r="XBS45" s="1"/>
      <c r="XBT45" s="1"/>
      <c r="XBU45" s="1"/>
      <c r="XBV45" s="1"/>
      <c r="XBW45" s="1"/>
      <c r="XBX45" s="1"/>
      <c r="XBY45" s="1"/>
      <c r="XBZ45" s="1"/>
      <c r="XCA45" s="1"/>
      <c r="XCB45" s="1"/>
      <c r="XCC45" s="1"/>
      <c r="XCD45" s="1"/>
      <c r="XCE45" s="1"/>
      <c r="XCF45" s="1"/>
      <c r="XCG45" s="1"/>
      <c r="XCH45" s="1"/>
      <c r="XCI45" s="1"/>
      <c r="XCJ45" s="1"/>
      <c r="XCK45" s="1"/>
      <c r="XCL45" s="1"/>
      <c r="XCM45" s="1"/>
      <c r="XCN45" s="1"/>
      <c r="XCO45" s="1"/>
      <c r="XCP45" s="1"/>
      <c r="XCQ45" s="1"/>
      <c r="XCR45" s="1"/>
      <c r="XCS45" s="1"/>
      <c r="XCT45" s="1"/>
      <c r="XCU45" s="1"/>
      <c r="XCV45" s="1"/>
      <c r="XCW45" s="1"/>
      <c r="XCX45" s="1"/>
      <c r="XCY45" s="1"/>
      <c r="XCZ45" s="1"/>
      <c r="XDA45" s="1"/>
      <c r="XDB45" s="1"/>
      <c r="XDC45" s="1"/>
      <c r="XDD45" s="1"/>
      <c r="XDE45" s="1"/>
      <c r="XDF45" s="1"/>
      <c r="XDG45" s="1"/>
      <c r="XDH45" s="1"/>
      <c r="XDI45" s="1"/>
      <c r="XDJ45" s="1"/>
      <c r="XDK45" s="1"/>
      <c r="XDL45" s="1"/>
      <c r="XDM45" s="1"/>
      <c r="XDN45" s="1"/>
      <c r="XDO45" s="1"/>
      <c r="XDP45" s="1"/>
      <c r="XDQ45" s="1"/>
      <c r="XDR45" s="1"/>
      <c r="XDS45" s="1"/>
      <c r="XDT45" s="1"/>
      <c r="XDU45" s="1"/>
      <c r="XDV45" s="1"/>
      <c r="XDW45" s="1"/>
      <c r="XDX45" s="1"/>
      <c r="XDY45" s="1"/>
      <c r="XDZ45" s="1"/>
      <c r="XEA45" s="1"/>
      <c r="XEB45" s="1"/>
      <c r="XEC45" s="1"/>
      <c r="XED45" s="1"/>
      <c r="XEE45" s="1"/>
      <c r="XEF45" s="1"/>
      <c r="XEG45" s="1"/>
      <c r="XEH45" s="1"/>
      <c r="XEI45" s="1"/>
      <c r="XEJ45" s="1"/>
      <c r="XEK45" s="1"/>
      <c r="XEL45" s="1"/>
      <c r="XEM45" s="1"/>
      <c r="XEN45" s="1"/>
      <c r="XEO45" s="1"/>
      <c r="XEP45" s="1"/>
      <c r="XEQ45" s="1"/>
      <c r="XER45" s="1"/>
      <c r="XES45" s="1"/>
      <c r="XET45" s="1"/>
      <c r="XEU45" s="1"/>
      <c r="XEV45" s="1"/>
      <c r="XEW45" s="1"/>
      <c r="XEX45" s="1"/>
      <c r="XEY45" s="1"/>
      <c r="XEZ45" s="1"/>
      <c r="XFA45" s="1"/>
      <c r="XFB45" s="1"/>
      <c r="XFC45" s="1"/>
      <c r="XFD45" s="1"/>
    </row>
    <row r="46" spans="1:16384" s="31" customFormat="1" ht="18.75" x14ac:dyDescent="0.3">
      <c r="A46" s="1"/>
      <c r="B46" s="47"/>
      <c r="C46" s="41" t="s">
        <v>104</v>
      </c>
      <c r="D46" s="41"/>
      <c r="E46" s="41"/>
      <c r="F46" s="41"/>
      <c r="G46" s="42"/>
      <c r="H46" s="42"/>
      <c r="I46" s="35"/>
      <c r="J46" s="35"/>
      <c r="K46" s="35"/>
      <c r="L46" s="48"/>
      <c r="M46" s="1"/>
      <c r="N46" s="47"/>
      <c r="O46" s="41" t="s">
        <v>102</v>
      </c>
      <c r="P46" s="41"/>
      <c r="Q46" s="41"/>
      <c r="R46" s="40"/>
      <c r="S46" s="35"/>
      <c r="T46" s="35"/>
      <c r="U46" s="35"/>
      <c r="V46" s="35"/>
      <c r="W46" s="35"/>
      <c r="X46" s="48"/>
      <c r="Y46" s="1"/>
      <c r="Z46" s="47"/>
      <c r="AA46" s="41" t="s">
        <v>103</v>
      </c>
      <c r="AB46" s="42"/>
      <c r="AC46" s="42"/>
      <c r="AD46" s="42"/>
      <c r="AE46" s="42"/>
      <c r="AF46" s="48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16384" s="1" customFormat="1" x14ac:dyDescent="0.25">
      <c r="B47" s="47"/>
      <c r="C47" s="35"/>
      <c r="D47" s="35"/>
      <c r="E47" s="35"/>
      <c r="F47" s="35"/>
      <c r="G47" s="35"/>
      <c r="H47" s="35"/>
      <c r="I47" s="35"/>
      <c r="J47" s="35"/>
      <c r="K47" s="35"/>
      <c r="L47" s="48"/>
      <c r="N47" s="47"/>
      <c r="O47" s="35"/>
      <c r="P47" s="35"/>
      <c r="Q47" s="35"/>
      <c r="R47" s="35"/>
      <c r="S47" s="35"/>
      <c r="T47" s="35"/>
      <c r="U47" s="35"/>
      <c r="V47" s="35"/>
      <c r="W47" s="35"/>
      <c r="X47" s="48"/>
      <c r="Z47" s="47"/>
      <c r="AA47" s="35"/>
      <c r="AB47" s="35"/>
      <c r="AC47" s="35"/>
      <c r="AD47" s="35"/>
      <c r="AE47" s="35"/>
      <c r="AF47" s="48"/>
    </row>
    <row r="48" spans="1:16384" s="1" customFormat="1" ht="15.75" thickBot="1" x14ac:dyDescent="0.3">
      <c r="B48" s="47"/>
      <c r="C48" s="43"/>
      <c r="D48" s="43" t="s">
        <v>91</v>
      </c>
      <c r="E48" s="43" t="s">
        <v>1</v>
      </c>
      <c r="F48" s="43"/>
      <c r="G48" s="35"/>
      <c r="H48" s="43"/>
      <c r="I48" s="43" t="s">
        <v>92</v>
      </c>
      <c r="J48" s="43" t="s">
        <v>130</v>
      </c>
      <c r="K48" s="43"/>
      <c r="L48" s="48"/>
      <c r="M48" s="35"/>
      <c r="N48" s="47"/>
      <c r="O48" s="43"/>
      <c r="P48" s="43" t="s">
        <v>91</v>
      </c>
      <c r="Q48" s="43" t="s">
        <v>1</v>
      </c>
      <c r="R48" s="43"/>
      <c r="S48" s="35"/>
      <c r="T48" s="43"/>
      <c r="U48" s="43" t="s">
        <v>92</v>
      </c>
      <c r="V48" s="43" t="s">
        <v>130</v>
      </c>
      <c r="W48" s="43"/>
      <c r="X48" s="48"/>
      <c r="Z48" s="47"/>
      <c r="AA48" s="35"/>
      <c r="AB48" s="35"/>
      <c r="AC48" s="35"/>
      <c r="AD48" s="35"/>
      <c r="AE48" s="35"/>
      <c r="AF48" s="48"/>
    </row>
    <row r="49" spans="2:55" s="1" customFormat="1" ht="16.5" thickTop="1" x14ac:dyDescent="0.25">
      <c r="B49" s="47"/>
      <c r="C49" s="38" t="s">
        <v>0</v>
      </c>
      <c r="D49" s="59" t="s">
        <v>87</v>
      </c>
      <c r="E49" s="59" t="s">
        <v>5</v>
      </c>
      <c r="F49" s="59" t="s">
        <v>88</v>
      </c>
      <c r="G49" s="35"/>
      <c r="H49" s="38" t="s">
        <v>0</v>
      </c>
      <c r="I49" s="59" t="s">
        <v>87</v>
      </c>
      <c r="J49" s="59" t="s">
        <v>4</v>
      </c>
      <c r="K49" s="59" t="s">
        <v>88</v>
      </c>
      <c r="L49" s="55"/>
      <c r="M49" s="36"/>
      <c r="N49" s="47"/>
      <c r="O49" s="38" t="s">
        <v>0</v>
      </c>
      <c r="P49" s="59" t="s">
        <v>87</v>
      </c>
      <c r="Q49" s="59" t="s">
        <v>5</v>
      </c>
      <c r="R49" s="59" t="s">
        <v>88</v>
      </c>
      <c r="S49" s="36"/>
      <c r="T49" s="38" t="s">
        <v>0</v>
      </c>
      <c r="U49" s="59" t="s">
        <v>87</v>
      </c>
      <c r="V49" s="59" t="s">
        <v>88</v>
      </c>
      <c r="W49" s="59" t="s">
        <v>4</v>
      </c>
      <c r="X49" s="48"/>
      <c r="Z49" s="47"/>
      <c r="AA49" s="52" t="s">
        <v>0</v>
      </c>
      <c r="AB49" s="66" t="s">
        <v>96</v>
      </c>
      <c r="AC49" s="66" t="s">
        <v>97</v>
      </c>
      <c r="AD49" s="35"/>
      <c r="AE49" s="35"/>
      <c r="AF49" s="48"/>
    </row>
    <row r="50" spans="2:55" x14ac:dyDescent="0.25">
      <c r="B50" s="47"/>
      <c r="C50" s="37">
        <v>1</v>
      </c>
      <c r="D50" s="35">
        <v>61</v>
      </c>
      <c r="E50" s="35">
        <v>11</v>
      </c>
      <c r="F50" s="35">
        <v>27</v>
      </c>
      <c r="G50" s="35"/>
      <c r="H50" s="37">
        <v>1</v>
      </c>
      <c r="I50" s="35">
        <v>61</v>
      </c>
      <c r="J50" s="35">
        <v>4</v>
      </c>
      <c r="K50" s="35">
        <v>34</v>
      </c>
      <c r="L50" s="48"/>
      <c r="M50" s="1"/>
      <c r="N50" s="47"/>
      <c r="O50" s="37">
        <v>1</v>
      </c>
      <c r="P50" s="49">
        <f t="shared" ref="P50:P69" si="8">D50/(D50+E50+F50)</f>
        <v>0.61616161616161613</v>
      </c>
      <c r="Q50" s="49">
        <f t="shared" ref="Q50:Q69" si="9">E50/(D50+E50+F50)</f>
        <v>0.1111111111111111</v>
      </c>
      <c r="R50" s="49">
        <f t="shared" ref="R50:R69" si="10">F50/(D50+E50+F50)</f>
        <v>0.27272727272727271</v>
      </c>
      <c r="S50" s="35"/>
      <c r="T50" s="37">
        <v>1</v>
      </c>
      <c r="U50" s="49">
        <f t="shared" ref="U50:U69" si="11">I50/(I50+J50+K50)</f>
        <v>0.61616161616161613</v>
      </c>
      <c r="V50" s="49">
        <f t="shared" ref="V50:V69" si="12">J50/(J50+I50+K50)</f>
        <v>4.0404040404040407E-2</v>
      </c>
      <c r="W50" s="49">
        <f t="shared" ref="W50:W69" si="13">K50/(I50+J50+K50)</f>
        <v>0.34343434343434343</v>
      </c>
      <c r="X50" s="48"/>
      <c r="Z50" s="56"/>
      <c r="AA50" s="37">
        <v>1</v>
      </c>
      <c r="AB50" s="54">
        <f>U50-P50</f>
        <v>0</v>
      </c>
      <c r="AC50" s="54">
        <f>R50-W50</f>
        <v>-7.0707070707070718E-2</v>
      </c>
      <c r="AD50" s="35"/>
      <c r="AE50" s="35"/>
      <c r="AF50" s="48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:55" x14ac:dyDescent="0.25">
      <c r="B51" s="47"/>
      <c r="C51" s="37">
        <v>2</v>
      </c>
      <c r="D51" s="35">
        <v>37</v>
      </c>
      <c r="E51" s="35">
        <v>8</v>
      </c>
      <c r="F51" s="35">
        <v>54</v>
      </c>
      <c r="G51" s="35"/>
      <c r="H51" s="37">
        <v>2</v>
      </c>
      <c r="I51" s="35">
        <v>32</v>
      </c>
      <c r="J51" s="35">
        <v>42</v>
      </c>
      <c r="K51" s="35">
        <v>25</v>
      </c>
      <c r="L51" s="48"/>
      <c r="M51" s="1"/>
      <c r="N51" s="47"/>
      <c r="O51" s="37">
        <v>2</v>
      </c>
      <c r="P51" s="49">
        <f t="shared" si="8"/>
        <v>0.37373737373737376</v>
      </c>
      <c r="Q51" s="49">
        <f t="shared" si="9"/>
        <v>8.0808080808080815E-2</v>
      </c>
      <c r="R51" s="49">
        <f t="shared" si="10"/>
        <v>0.54545454545454541</v>
      </c>
      <c r="S51" s="35"/>
      <c r="T51" s="37">
        <v>2</v>
      </c>
      <c r="U51" s="49">
        <f t="shared" si="11"/>
        <v>0.32323232323232326</v>
      </c>
      <c r="V51" s="49">
        <f t="shared" si="12"/>
        <v>0.42424242424242425</v>
      </c>
      <c r="W51" s="49">
        <f t="shared" si="13"/>
        <v>0.25252525252525254</v>
      </c>
      <c r="X51" s="48"/>
      <c r="Y51" s="1"/>
      <c r="Z51" s="47"/>
      <c r="AA51" s="37">
        <v>2</v>
      </c>
      <c r="AB51" s="54">
        <f t="shared" ref="AB51:AB69" si="14">U51-P51</f>
        <v>-5.0505050505050497E-2</v>
      </c>
      <c r="AC51" s="54">
        <f t="shared" ref="AC51:AC69" si="15">R51-W51</f>
        <v>0.29292929292929287</v>
      </c>
      <c r="AD51" s="35"/>
      <c r="AE51" s="35"/>
      <c r="AF51" s="48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:55" x14ac:dyDescent="0.25">
      <c r="B52" s="47"/>
      <c r="C52" s="37">
        <v>3</v>
      </c>
      <c r="D52" s="35">
        <v>57</v>
      </c>
      <c r="E52" s="35">
        <v>10</v>
      </c>
      <c r="F52" s="35">
        <v>32</v>
      </c>
      <c r="G52" s="35"/>
      <c r="H52" s="37">
        <v>3</v>
      </c>
      <c r="I52" s="35">
        <v>61</v>
      </c>
      <c r="J52" s="35">
        <v>2</v>
      </c>
      <c r="K52" s="35">
        <v>36</v>
      </c>
      <c r="L52" s="48"/>
      <c r="M52" s="1"/>
      <c r="N52" s="47"/>
      <c r="O52" s="37">
        <v>3</v>
      </c>
      <c r="P52" s="49">
        <f t="shared" si="8"/>
        <v>0.5757575757575758</v>
      </c>
      <c r="Q52" s="49">
        <f t="shared" si="9"/>
        <v>0.10101010101010101</v>
      </c>
      <c r="R52" s="49">
        <f t="shared" si="10"/>
        <v>0.32323232323232326</v>
      </c>
      <c r="S52" s="35"/>
      <c r="T52" s="37">
        <v>3</v>
      </c>
      <c r="U52" s="49">
        <f t="shared" si="11"/>
        <v>0.61616161616161613</v>
      </c>
      <c r="V52" s="49">
        <f t="shared" si="12"/>
        <v>2.0202020202020204E-2</v>
      </c>
      <c r="W52" s="49">
        <f t="shared" si="13"/>
        <v>0.36363636363636365</v>
      </c>
      <c r="X52" s="48"/>
      <c r="Y52" s="1"/>
      <c r="Z52" s="47"/>
      <c r="AA52" s="37">
        <v>3</v>
      </c>
      <c r="AB52" s="54">
        <f t="shared" si="14"/>
        <v>4.0404040404040331E-2</v>
      </c>
      <c r="AC52" s="54">
        <f>R52-W52</f>
        <v>-4.0404040404040387E-2</v>
      </c>
      <c r="AD52" s="35"/>
      <c r="AE52" s="35"/>
      <c r="AF52" s="48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:55" x14ac:dyDescent="0.25">
      <c r="B53" s="47"/>
      <c r="C53" s="37">
        <v>4</v>
      </c>
      <c r="D53" s="35">
        <v>34</v>
      </c>
      <c r="E53" s="35">
        <v>24</v>
      </c>
      <c r="F53" s="35">
        <v>41</v>
      </c>
      <c r="G53" s="35"/>
      <c r="H53" s="37">
        <v>4</v>
      </c>
      <c r="I53" s="35">
        <v>32</v>
      </c>
      <c r="J53" s="35">
        <v>37</v>
      </c>
      <c r="K53" s="35">
        <v>30</v>
      </c>
      <c r="L53" s="48"/>
      <c r="M53" s="1"/>
      <c r="N53" s="47"/>
      <c r="O53" s="37">
        <v>4</v>
      </c>
      <c r="P53" s="49">
        <f t="shared" si="8"/>
        <v>0.34343434343434343</v>
      </c>
      <c r="Q53" s="49">
        <f t="shared" si="9"/>
        <v>0.24242424242424243</v>
      </c>
      <c r="R53" s="49">
        <f t="shared" si="10"/>
        <v>0.41414141414141414</v>
      </c>
      <c r="S53" s="35"/>
      <c r="T53" s="37">
        <v>4</v>
      </c>
      <c r="U53" s="49">
        <f t="shared" si="11"/>
        <v>0.32323232323232326</v>
      </c>
      <c r="V53" s="49">
        <f t="shared" si="12"/>
        <v>0.37373737373737376</v>
      </c>
      <c r="W53" s="49">
        <f t="shared" si="13"/>
        <v>0.30303030303030304</v>
      </c>
      <c r="X53" s="48"/>
      <c r="Y53" s="1"/>
      <c r="Z53" s="47"/>
      <c r="AA53" s="37">
        <v>4</v>
      </c>
      <c r="AB53" s="54">
        <f>U53-P53</f>
        <v>-2.0202020202020166E-2</v>
      </c>
      <c r="AC53" s="54">
        <f t="shared" si="15"/>
        <v>0.1111111111111111</v>
      </c>
      <c r="AD53" s="35"/>
      <c r="AE53" s="35"/>
      <c r="AF53" s="48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:55" x14ac:dyDescent="0.25">
      <c r="B54" s="47"/>
      <c r="C54" s="37">
        <v>5</v>
      </c>
      <c r="D54" s="35">
        <v>27</v>
      </c>
      <c r="E54" s="35">
        <v>8</v>
      </c>
      <c r="F54" s="35">
        <v>64</v>
      </c>
      <c r="G54" s="35"/>
      <c r="H54" s="37">
        <v>5</v>
      </c>
      <c r="I54" s="35">
        <v>23</v>
      </c>
      <c r="J54" s="35">
        <v>41</v>
      </c>
      <c r="K54" s="35">
        <v>35</v>
      </c>
      <c r="L54" s="48"/>
      <c r="M54" s="1"/>
      <c r="N54" s="47"/>
      <c r="O54" s="37">
        <v>5</v>
      </c>
      <c r="P54" s="49">
        <f t="shared" si="8"/>
        <v>0.27272727272727271</v>
      </c>
      <c r="Q54" s="49">
        <f t="shared" si="9"/>
        <v>8.0808080808080815E-2</v>
      </c>
      <c r="R54" s="49">
        <f t="shared" si="10"/>
        <v>0.64646464646464652</v>
      </c>
      <c r="S54" s="35"/>
      <c r="T54" s="37">
        <v>5</v>
      </c>
      <c r="U54" s="49">
        <f t="shared" si="11"/>
        <v>0.23232323232323232</v>
      </c>
      <c r="V54" s="49">
        <f t="shared" si="12"/>
        <v>0.41414141414141414</v>
      </c>
      <c r="W54" s="49">
        <f t="shared" si="13"/>
        <v>0.35353535353535354</v>
      </c>
      <c r="X54" s="48"/>
      <c r="Y54" s="1"/>
      <c r="Z54" s="47"/>
      <c r="AA54" s="37">
        <v>5</v>
      </c>
      <c r="AB54" s="54">
        <f t="shared" si="14"/>
        <v>-4.0404040404040387E-2</v>
      </c>
      <c r="AC54" s="54">
        <f t="shared" si="15"/>
        <v>0.29292929292929298</v>
      </c>
      <c r="AD54" s="35"/>
      <c r="AE54" s="35"/>
      <c r="AF54" s="48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:55" x14ac:dyDescent="0.25">
      <c r="B55" s="47"/>
      <c r="C55" s="37">
        <v>6</v>
      </c>
      <c r="D55" s="35">
        <v>94</v>
      </c>
      <c r="E55" s="35">
        <v>2</v>
      </c>
      <c r="F55" s="35">
        <v>2</v>
      </c>
      <c r="G55" s="35"/>
      <c r="H55" s="37">
        <v>6</v>
      </c>
      <c r="I55" s="35">
        <v>84</v>
      </c>
      <c r="J55" s="35">
        <v>6</v>
      </c>
      <c r="K55" s="35">
        <v>9</v>
      </c>
      <c r="L55" s="48"/>
      <c r="M55" s="1"/>
      <c r="N55" s="47"/>
      <c r="O55" s="37">
        <v>6</v>
      </c>
      <c r="P55" s="49">
        <f t="shared" si="8"/>
        <v>0.95918367346938771</v>
      </c>
      <c r="Q55" s="49">
        <f t="shared" si="9"/>
        <v>2.0408163265306121E-2</v>
      </c>
      <c r="R55" s="49">
        <f t="shared" si="10"/>
        <v>2.0408163265306121E-2</v>
      </c>
      <c r="S55" s="35"/>
      <c r="T55" s="37">
        <v>6</v>
      </c>
      <c r="U55" s="49">
        <f t="shared" si="11"/>
        <v>0.84848484848484851</v>
      </c>
      <c r="V55" s="49">
        <f t="shared" si="12"/>
        <v>6.0606060606060608E-2</v>
      </c>
      <c r="W55" s="49">
        <f t="shared" si="13"/>
        <v>9.0909090909090912E-2</v>
      </c>
      <c r="X55" s="48"/>
      <c r="Y55" s="1"/>
      <c r="Z55" s="47"/>
      <c r="AA55" s="37">
        <v>6</v>
      </c>
      <c r="AB55" s="54">
        <f t="shared" si="14"/>
        <v>-0.1106988249845392</v>
      </c>
      <c r="AC55" s="54">
        <f t="shared" si="15"/>
        <v>-7.0500927643784794E-2</v>
      </c>
      <c r="AD55" s="35"/>
      <c r="AE55" s="35"/>
      <c r="AF55" s="48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:55" x14ac:dyDescent="0.25">
      <c r="B56" s="47"/>
      <c r="C56" s="37">
        <v>7</v>
      </c>
      <c r="D56" s="35">
        <v>4</v>
      </c>
      <c r="E56" s="35">
        <v>2</v>
      </c>
      <c r="F56" s="35">
        <v>93</v>
      </c>
      <c r="G56" s="35"/>
      <c r="H56" s="37">
        <v>7</v>
      </c>
      <c r="I56" s="35">
        <v>10</v>
      </c>
      <c r="J56" s="35">
        <v>50</v>
      </c>
      <c r="K56" s="35">
        <v>39</v>
      </c>
      <c r="L56" s="48"/>
      <c r="M56" s="1"/>
      <c r="N56" s="47"/>
      <c r="O56" s="37">
        <v>7</v>
      </c>
      <c r="P56" s="49">
        <f t="shared" si="8"/>
        <v>4.0404040404040407E-2</v>
      </c>
      <c r="Q56" s="49">
        <f t="shared" si="9"/>
        <v>2.0202020202020204E-2</v>
      </c>
      <c r="R56" s="49">
        <f t="shared" si="10"/>
        <v>0.93939393939393945</v>
      </c>
      <c r="S56" s="35"/>
      <c r="T56" s="37">
        <v>7</v>
      </c>
      <c r="U56" s="49">
        <f t="shared" si="11"/>
        <v>0.10101010101010101</v>
      </c>
      <c r="V56" s="49">
        <f t="shared" si="12"/>
        <v>0.50505050505050508</v>
      </c>
      <c r="W56" s="49">
        <f t="shared" si="13"/>
        <v>0.39393939393939392</v>
      </c>
      <c r="X56" s="48"/>
      <c r="Y56" s="1"/>
      <c r="Z56" s="47"/>
      <c r="AA56" s="37">
        <v>7</v>
      </c>
      <c r="AB56" s="54">
        <f t="shared" si="14"/>
        <v>6.0606060606060601E-2</v>
      </c>
      <c r="AC56" s="54">
        <f t="shared" si="15"/>
        <v>0.54545454545454553</v>
      </c>
      <c r="AD56" s="35"/>
      <c r="AE56" s="35"/>
      <c r="AF56" s="48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:55" x14ac:dyDescent="0.25">
      <c r="B57" s="47"/>
      <c r="C57" s="37">
        <v>8</v>
      </c>
      <c r="D57" s="35">
        <v>25</v>
      </c>
      <c r="E57" s="35">
        <v>35</v>
      </c>
      <c r="F57" s="35">
        <v>38</v>
      </c>
      <c r="G57" s="35"/>
      <c r="H57" s="37">
        <v>8</v>
      </c>
      <c r="I57" s="35">
        <v>45</v>
      </c>
      <c r="J57" s="35">
        <v>14</v>
      </c>
      <c r="K57" s="35">
        <v>40</v>
      </c>
      <c r="L57" s="48"/>
      <c r="M57" s="1"/>
      <c r="N57" s="47"/>
      <c r="O57" s="37">
        <v>8</v>
      </c>
      <c r="P57" s="49">
        <f t="shared" si="8"/>
        <v>0.25510204081632654</v>
      </c>
      <c r="Q57" s="49">
        <f t="shared" si="9"/>
        <v>0.35714285714285715</v>
      </c>
      <c r="R57" s="49">
        <f t="shared" si="10"/>
        <v>0.38775510204081631</v>
      </c>
      <c r="S57" s="35"/>
      <c r="T57" s="37">
        <v>8</v>
      </c>
      <c r="U57" s="49">
        <f t="shared" si="11"/>
        <v>0.45454545454545453</v>
      </c>
      <c r="V57" s="49">
        <f t="shared" si="12"/>
        <v>0.14141414141414141</v>
      </c>
      <c r="W57" s="49">
        <f t="shared" si="13"/>
        <v>0.40404040404040403</v>
      </c>
      <c r="X57" s="48"/>
      <c r="Y57" s="1"/>
      <c r="Z57" s="47"/>
      <c r="AA57" s="37">
        <v>8</v>
      </c>
      <c r="AB57" s="54">
        <f t="shared" si="14"/>
        <v>0.19944341372912799</v>
      </c>
      <c r="AC57" s="54">
        <f t="shared" si="15"/>
        <v>-1.628530199958772E-2</v>
      </c>
      <c r="AD57" s="35"/>
      <c r="AE57" s="35"/>
      <c r="AF57" s="48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:55" x14ac:dyDescent="0.25">
      <c r="B58" s="47"/>
      <c r="C58" s="37">
        <v>9</v>
      </c>
      <c r="D58" s="35">
        <v>6</v>
      </c>
      <c r="E58" s="35">
        <v>79</v>
      </c>
      <c r="F58" s="35">
        <v>14</v>
      </c>
      <c r="G58" s="35"/>
      <c r="H58" s="37">
        <v>9</v>
      </c>
      <c r="I58" s="35">
        <v>11</v>
      </c>
      <c r="J58" s="35">
        <v>82</v>
      </c>
      <c r="K58" s="35">
        <v>6</v>
      </c>
      <c r="L58" s="48"/>
      <c r="M58" s="1"/>
      <c r="N58" s="47"/>
      <c r="O58" s="37">
        <v>9</v>
      </c>
      <c r="P58" s="49">
        <f t="shared" si="8"/>
        <v>6.0606060606060608E-2</v>
      </c>
      <c r="Q58" s="49">
        <f t="shared" si="9"/>
        <v>0.79797979797979801</v>
      </c>
      <c r="R58" s="49">
        <f t="shared" si="10"/>
        <v>0.14141414141414141</v>
      </c>
      <c r="S58" s="35"/>
      <c r="T58" s="37">
        <v>9</v>
      </c>
      <c r="U58" s="49">
        <f t="shared" si="11"/>
        <v>0.1111111111111111</v>
      </c>
      <c r="V58" s="49">
        <f t="shared" si="12"/>
        <v>0.82828282828282829</v>
      </c>
      <c r="W58" s="49">
        <f t="shared" si="13"/>
        <v>6.0606060606060608E-2</v>
      </c>
      <c r="X58" s="48"/>
      <c r="Y58" s="1"/>
      <c r="Z58" s="47"/>
      <c r="AA58" s="37">
        <v>9</v>
      </c>
      <c r="AB58" s="54">
        <f t="shared" si="14"/>
        <v>5.0505050505050497E-2</v>
      </c>
      <c r="AC58" s="54">
        <f t="shared" si="15"/>
        <v>8.0808080808080801E-2</v>
      </c>
      <c r="AD58" s="35"/>
      <c r="AE58" s="35"/>
      <c r="AF58" s="48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:55" x14ac:dyDescent="0.25">
      <c r="B59" s="47"/>
      <c r="C59" s="37">
        <v>10</v>
      </c>
      <c r="D59" s="35">
        <v>53</v>
      </c>
      <c r="E59" s="35">
        <v>35</v>
      </c>
      <c r="F59" s="35">
        <v>10</v>
      </c>
      <c r="G59" s="35"/>
      <c r="H59" s="37">
        <v>10</v>
      </c>
      <c r="I59" s="35">
        <v>79</v>
      </c>
      <c r="J59" s="35">
        <v>16</v>
      </c>
      <c r="K59" s="35">
        <v>4</v>
      </c>
      <c r="L59" s="48"/>
      <c r="M59" s="1"/>
      <c r="N59" s="47"/>
      <c r="O59" s="37">
        <v>10</v>
      </c>
      <c r="P59" s="49">
        <f t="shared" si="8"/>
        <v>0.54081632653061229</v>
      </c>
      <c r="Q59" s="49">
        <f t="shared" si="9"/>
        <v>0.35714285714285715</v>
      </c>
      <c r="R59" s="49">
        <f t="shared" si="10"/>
        <v>0.10204081632653061</v>
      </c>
      <c r="S59" s="35"/>
      <c r="T59" s="37">
        <v>10</v>
      </c>
      <c r="U59" s="49">
        <f t="shared" si="11"/>
        <v>0.79797979797979801</v>
      </c>
      <c r="V59" s="49">
        <f t="shared" si="12"/>
        <v>0.16161616161616163</v>
      </c>
      <c r="W59" s="49">
        <f t="shared" si="13"/>
        <v>4.0404040404040407E-2</v>
      </c>
      <c r="X59" s="48"/>
      <c r="Y59" s="1"/>
      <c r="Z59" s="47"/>
      <c r="AA59" s="37">
        <v>10</v>
      </c>
      <c r="AB59" s="54">
        <f t="shared" si="14"/>
        <v>0.25716347144918572</v>
      </c>
      <c r="AC59" s="54">
        <f t="shared" si="15"/>
        <v>6.1636775922490207E-2</v>
      </c>
      <c r="AD59" s="35"/>
      <c r="AE59" s="35"/>
      <c r="AF59" s="48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:55" x14ac:dyDescent="0.25">
      <c r="B60" s="47"/>
      <c r="C60" s="37">
        <v>11</v>
      </c>
      <c r="D60" s="35">
        <v>41</v>
      </c>
      <c r="E60" s="35">
        <v>23</v>
      </c>
      <c r="F60" s="35">
        <v>35</v>
      </c>
      <c r="G60" s="35"/>
      <c r="H60" s="37">
        <v>11</v>
      </c>
      <c r="I60" s="35">
        <v>17</v>
      </c>
      <c r="J60" s="35">
        <v>72</v>
      </c>
      <c r="K60" s="35">
        <v>10</v>
      </c>
      <c r="L60" s="48"/>
      <c r="M60" s="1"/>
      <c r="N60" s="47"/>
      <c r="O60" s="37">
        <v>11</v>
      </c>
      <c r="P60" s="49">
        <f t="shared" si="8"/>
        <v>0.41414141414141414</v>
      </c>
      <c r="Q60" s="49">
        <f t="shared" si="9"/>
        <v>0.23232323232323232</v>
      </c>
      <c r="R60" s="49">
        <f t="shared" si="10"/>
        <v>0.35353535353535354</v>
      </c>
      <c r="S60" s="35"/>
      <c r="T60" s="37">
        <v>11</v>
      </c>
      <c r="U60" s="49">
        <f t="shared" si="11"/>
        <v>0.17171717171717171</v>
      </c>
      <c r="V60" s="49">
        <f t="shared" si="12"/>
        <v>0.72727272727272729</v>
      </c>
      <c r="W60" s="49">
        <f t="shared" si="13"/>
        <v>0.10101010101010101</v>
      </c>
      <c r="X60" s="48"/>
      <c r="Y60" s="1"/>
      <c r="Z60" s="47"/>
      <c r="AA60" s="37">
        <v>11</v>
      </c>
      <c r="AB60" s="54">
        <f t="shared" si="14"/>
        <v>-0.24242424242424243</v>
      </c>
      <c r="AC60" s="54">
        <f t="shared" si="15"/>
        <v>0.25252525252525254</v>
      </c>
      <c r="AD60" s="35"/>
      <c r="AE60" s="35"/>
      <c r="AF60" s="48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:55" x14ac:dyDescent="0.25">
      <c r="B61" s="47"/>
      <c r="C61" s="37">
        <v>12</v>
      </c>
      <c r="D61" s="35">
        <v>39</v>
      </c>
      <c r="E61" s="35">
        <v>17</v>
      </c>
      <c r="F61" s="35">
        <v>42</v>
      </c>
      <c r="G61" s="35"/>
      <c r="H61" s="37">
        <v>12</v>
      </c>
      <c r="I61" s="35">
        <v>41</v>
      </c>
      <c r="J61" s="35">
        <v>30</v>
      </c>
      <c r="K61" s="35">
        <v>28</v>
      </c>
      <c r="L61" s="48"/>
      <c r="M61" s="1"/>
      <c r="N61" s="47"/>
      <c r="O61" s="37">
        <v>12</v>
      </c>
      <c r="P61" s="49">
        <f t="shared" si="8"/>
        <v>0.39795918367346939</v>
      </c>
      <c r="Q61" s="49">
        <f t="shared" si="9"/>
        <v>0.17346938775510204</v>
      </c>
      <c r="R61" s="49">
        <f t="shared" si="10"/>
        <v>0.42857142857142855</v>
      </c>
      <c r="S61" s="35"/>
      <c r="T61" s="37">
        <v>12</v>
      </c>
      <c r="U61" s="49">
        <f t="shared" si="11"/>
        <v>0.41414141414141414</v>
      </c>
      <c r="V61" s="49">
        <f t="shared" si="12"/>
        <v>0.30303030303030304</v>
      </c>
      <c r="W61" s="49">
        <f t="shared" si="13"/>
        <v>0.28282828282828282</v>
      </c>
      <c r="X61" s="48"/>
      <c r="Y61" s="1"/>
      <c r="Z61" s="47"/>
      <c r="AA61" s="37">
        <v>12</v>
      </c>
      <c r="AB61" s="54">
        <f t="shared" si="14"/>
        <v>1.6182230467944758E-2</v>
      </c>
      <c r="AC61" s="54">
        <f t="shared" si="15"/>
        <v>0.14574314574314573</v>
      </c>
      <c r="AD61" s="35"/>
      <c r="AE61" s="35"/>
      <c r="AF61" s="48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2:55" x14ac:dyDescent="0.25">
      <c r="B62" s="47"/>
      <c r="C62" s="37">
        <v>13</v>
      </c>
      <c r="D62" s="35">
        <v>76</v>
      </c>
      <c r="E62" s="35">
        <v>23</v>
      </c>
      <c r="F62" s="35">
        <v>0</v>
      </c>
      <c r="G62" s="35"/>
      <c r="H62" s="37">
        <v>13</v>
      </c>
      <c r="I62" s="35">
        <v>90</v>
      </c>
      <c r="J62" s="35">
        <v>10</v>
      </c>
      <c r="K62" s="35">
        <v>0</v>
      </c>
      <c r="L62" s="48"/>
      <c r="M62" s="1"/>
      <c r="N62" s="47"/>
      <c r="O62" s="37">
        <v>13</v>
      </c>
      <c r="P62" s="49">
        <f t="shared" si="8"/>
        <v>0.76767676767676762</v>
      </c>
      <c r="Q62" s="49">
        <f t="shared" si="9"/>
        <v>0.23232323232323232</v>
      </c>
      <c r="R62" s="49">
        <f t="shared" si="10"/>
        <v>0</v>
      </c>
      <c r="S62" s="35"/>
      <c r="T62" s="37">
        <v>13</v>
      </c>
      <c r="U62" s="49">
        <f t="shared" si="11"/>
        <v>0.9</v>
      </c>
      <c r="V62" s="49">
        <f t="shared" si="12"/>
        <v>0.1</v>
      </c>
      <c r="W62" s="49">
        <f t="shared" si="13"/>
        <v>0</v>
      </c>
      <c r="X62" s="48"/>
      <c r="Y62" s="1"/>
      <c r="Z62" s="47"/>
      <c r="AA62" s="37">
        <v>13</v>
      </c>
      <c r="AB62" s="54">
        <f t="shared" si="14"/>
        <v>0.1323232323232324</v>
      </c>
      <c r="AC62" s="54">
        <f t="shared" si="15"/>
        <v>0</v>
      </c>
      <c r="AD62" s="35"/>
      <c r="AE62" s="35"/>
      <c r="AF62" s="48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:55" x14ac:dyDescent="0.25">
      <c r="B63" s="47"/>
      <c r="C63" s="37">
        <v>14</v>
      </c>
      <c r="D63" s="35">
        <v>76</v>
      </c>
      <c r="E63" s="35">
        <v>17</v>
      </c>
      <c r="F63" s="35">
        <v>6</v>
      </c>
      <c r="G63" s="35"/>
      <c r="H63" s="37">
        <v>14</v>
      </c>
      <c r="I63" s="35">
        <v>78</v>
      </c>
      <c r="J63" s="35">
        <v>20</v>
      </c>
      <c r="K63" s="35">
        <v>2</v>
      </c>
      <c r="L63" s="48"/>
      <c r="M63" s="1"/>
      <c r="N63" s="47"/>
      <c r="O63" s="37">
        <v>14</v>
      </c>
      <c r="P63" s="49">
        <f t="shared" si="8"/>
        <v>0.76767676767676762</v>
      </c>
      <c r="Q63" s="49">
        <f t="shared" si="9"/>
        <v>0.17171717171717171</v>
      </c>
      <c r="R63" s="49">
        <f t="shared" si="10"/>
        <v>6.0606060606060608E-2</v>
      </c>
      <c r="S63" s="35"/>
      <c r="T63" s="37">
        <v>14</v>
      </c>
      <c r="U63" s="49">
        <f t="shared" si="11"/>
        <v>0.78</v>
      </c>
      <c r="V63" s="49">
        <f t="shared" si="12"/>
        <v>0.2</v>
      </c>
      <c r="W63" s="49">
        <f t="shared" si="13"/>
        <v>0.02</v>
      </c>
      <c r="X63" s="48"/>
      <c r="Y63" s="1"/>
      <c r="Z63" s="47"/>
      <c r="AA63" s="37">
        <v>14</v>
      </c>
      <c r="AB63" s="54">
        <f t="shared" si="14"/>
        <v>1.2323232323232403E-2</v>
      </c>
      <c r="AC63" s="54">
        <f t="shared" si="15"/>
        <v>4.0606060606060604E-2</v>
      </c>
      <c r="AD63" s="35"/>
      <c r="AE63" s="35"/>
      <c r="AF63" s="48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2:55" x14ac:dyDescent="0.25">
      <c r="B64" s="47"/>
      <c r="C64" s="37">
        <v>15</v>
      </c>
      <c r="D64" s="35">
        <v>18</v>
      </c>
      <c r="E64" s="35">
        <v>24</v>
      </c>
      <c r="F64" s="35">
        <v>57</v>
      </c>
      <c r="G64" s="35"/>
      <c r="H64" s="37">
        <v>15</v>
      </c>
      <c r="I64" s="35">
        <v>28</v>
      </c>
      <c r="J64" s="35">
        <v>28</v>
      </c>
      <c r="K64" s="35">
        <v>44</v>
      </c>
      <c r="L64" s="48"/>
      <c r="M64" s="1"/>
      <c r="N64" s="47"/>
      <c r="O64" s="37">
        <v>15</v>
      </c>
      <c r="P64" s="49">
        <f t="shared" si="8"/>
        <v>0.18181818181818182</v>
      </c>
      <c r="Q64" s="49">
        <f t="shared" si="9"/>
        <v>0.24242424242424243</v>
      </c>
      <c r="R64" s="49">
        <f t="shared" si="10"/>
        <v>0.5757575757575758</v>
      </c>
      <c r="S64" s="35"/>
      <c r="T64" s="37">
        <v>15</v>
      </c>
      <c r="U64" s="49">
        <f t="shared" si="11"/>
        <v>0.28000000000000003</v>
      </c>
      <c r="V64" s="49">
        <f t="shared" si="12"/>
        <v>0.28000000000000003</v>
      </c>
      <c r="W64" s="49">
        <f t="shared" si="13"/>
        <v>0.44</v>
      </c>
      <c r="X64" s="48"/>
      <c r="Y64" s="1"/>
      <c r="Z64" s="47"/>
      <c r="AA64" s="37">
        <v>15</v>
      </c>
      <c r="AB64" s="54">
        <f t="shared" si="14"/>
        <v>9.8181818181818203E-2</v>
      </c>
      <c r="AC64" s="54">
        <f t="shared" si="15"/>
        <v>0.1357575757575758</v>
      </c>
      <c r="AD64" s="35"/>
      <c r="AE64" s="35"/>
      <c r="AF64" s="48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2:60" x14ac:dyDescent="0.25">
      <c r="B65" s="47"/>
      <c r="C65" s="37">
        <v>16</v>
      </c>
      <c r="D65" s="35">
        <v>48</v>
      </c>
      <c r="E65" s="35">
        <v>13</v>
      </c>
      <c r="F65" s="35">
        <v>38</v>
      </c>
      <c r="G65" s="35"/>
      <c r="H65" s="37">
        <v>16</v>
      </c>
      <c r="I65" s="35">
        <v>68</v>
      </c>
      <c r="J65" s="35">
        <v>10</v>
      </c>
      <c r="K65" s="35">
        <v>22</v>
      </c>
      <c r="L65" s="48"/>
      <c r="M65" s="1"/>
      <c r="N65" s="47"/>
      <c r="O65" s="37">
        <v>16</v>
      </c>
      <c r="P65" s="49">
        <f t="shared" si="8"/>
        <v>0.48484848484848486</v>
      </c>
      <c r="Q65" s="49">
        <f t="shared" si="9"/>
        <v>0.13131313131313133</v>
      </c>
      <c r="R65" s="49">
        <f t="shared" si="10"/>
        <v>0.38383838383838381</v>
      </c>
      <c r="S65" s="35"/>
      <c r="T65" s="37">
        <v>16</v>
      </c>
      <c r="U65" s="49">
        <f t="shared" si="11"/>
        <v>0.68</v>
      </c>
      <c r="V65" s="49">
        <f t="shared" si="12"/>
        <v>0.1</v>
      </c>
      <c r="W65" s="49">
        <f t="shared" si="13"/>
        <v>0.22</v>
      </c>
      <c r="X65" s="48"/>
      <c r="Y65" s="1"/>
      <c r="Z65" s="47"/>
      <c r="AA65" s="37">
        <v>16</v>
      </c>
      <c r="AB65" s="54">
        <f t="shared" si="14"/>
        <v>0.19515151515151519</v>
      </c>
      <c r="AC65" s="54">
        <f t="shared" si="15"/>
        <v>0.16383838383838381</v>
      </c>
      <c r="AD65" s="35"/>
      <c r="AE65" s="35"/>
      <c r="AF65" s="48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:60" x14ac:dyDescent="0.25">
      <c r="B66" s="47"/>
      <c r="C66" s="37">
        <v>17</v>
      </c>
      <c r="D66" s="35">
        <v>36</v>
      </c>
      <c r="E66" s="35">
        <v>16</v>
      </c>
      <c r="F66" s="35">
        <v>47</v>
      </c>
      <c r="G66" s="35"/>
      <c r="H66" s="37">
        <v>17</v>
      </c>
      <c r="I66" s="35">
        <v>27</v>
      </c>
      <c r="J66" s="35">
        <v>45</v>
      </c>
      <c r="K66" s="35">
        <v>28</v>
      </c>
      <c r="L66" s="48"/>
      <c r="M66" s="1"/>
      <c r="N66" s="47"/>
      <c r="O66" s="37">
        <v>17</v>
      </c>
      <c r="P66" s="49">
        <f t="shared" si="8"/>
        <v>0.36363636363636365</v>
      </c>
      <c r="Q66" s="49">
        <f t="shared" si="9"/>
        <v>0.16161616161616163</v>
      </c>
      <c r="R66" s="49">
        <f t="shared" si="10"/>
        <v>0.47474747474747475</v>
      </c>
      <c r="S66" s="35"/>
      <c r="T66" s="37">
        <v>17</v>
      </c>
      <c r="U66" s="49">
        <f t="shared" si="11"/>
        <v>0.27</v>
      </c>
      <c r="V66" s="49">
        <f t="shared" si="12"/>
        <v>0.45</v>
      </c>
      <c r="W66" s="49">
        <f t="shared" si="13"/>
        <v>0.28000000000000003</v>
      </c>
      <c r="X66" s="48"/>
      <c r="Y66" s="1"/>
      <c r="Z66" s="47"/>
      <c r="AA66" s="37">
        <v>17</v>
      </c>
      <c r="AB66" s="54">
        <f t="shared" si="14"/>
        <v>-9.3636363636363629E-2</v>
      </c>
      <c r="AC66" s="54">
        <f t="shared" si="15"/>
        <v>0.19474747474747472</v>
      </c>
      <c r="AD66" s="35"/>
      <c r="AE66" s="35"/>
      <c r="AF66" s="48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:60" x14ac:dyDescent="0.25">
      <c r="B67" s="47"/>
      <c r="C67" s="37">
        <v>18</v>
      </c>
      <c r="D67" s="35">
        <v>20</v>
      </c>
      <c r="E67" s="35">
        <v>57</v>
      </c>
      <c r="F67" s="35">
        <v>22</v>
      </c>
      <c r="G67" s="35"/>
      <c r="H67" s="37">
        <v>18</v>
      </c>
      <c r="I67" s="35">
        <v>47</v>
      </c>
      <c r="J67" s="35">
        <v>14</v>
      </c>
      <c r="K67" s="35">
        <v>39</v>
      </c>
      <c r="L67" s="48"/>
      <c r="M67" s="1"/>
      <c r="N67" s="47"/>
      <c r="O67" s="37">
        <v>18</v>
      </c>
      <c r="P67" s="49">
        <f t="shared" si="8"/>
        <v>0.20202020202020202</v>
      </c>
      <c r="Q67" s="49">
        <f t="shared" si="9"/>
        <v>0.5757575757575758</v>
      </c>
      <c r="R67" s="49">
        <f t="shared" si="10"/>
        <v>0.22222222222222221</v>
      </c>
      <c r="S67" s="35"/>
      <c r="T67" s="37">
        <v>18</v>
      </c>
      <c r="U67" s="49">
        <f t="shared" si="11"/>
        <v>0.47</v>
      </c>
      <c r="V67" s="49">
        <f t="shared" si="12"/>
        <v>0.14000000000000001</v>
      </c>
      <c r="W67" s="49">
        <f t="shared" si="13"/>
        <v>0.39</v>
      </c>
      <c r="X67" s="48"/>
      <c r="Y67" s="1"/>
      <c r="Z67" s="47"/>
      <c r="AA67" s="37">
        <v>18</v>
      </c>
      <c r="AB67" s="54">
        <f t="shared" si="14"/>
        <v>0.26797979797979798</v>
      </c>
      <c r="AC67" s="54">
        <f t="shared" si="15"/>
        <v>-0.1677777777777778</v>
      </c>
      <c r="AD67" s="35"/>
      <c r="AE67" s="35"/>
      <c r="AF67" s="48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:60" x14ac:dyDescent="0.25">
      <c r="B68" s="47"/>
      <c r="C68" s="37">
        <v>19</v>
      </c>
      <c r="D68" s="35">
        <v>56</v>
      </c>
      <c r="E68" s="35">
        <v>9</v>
      </c>
      <c r="F68" s="35">
        <v>34</v>
      </c>
      <c r="G68" s="35"/>
      <c r="H68" s="37">
        <v>19</v>
      </c>
      <c r="I68" s="35">
        <v>54</v>
      </c>
      <c r="J68" s="35">
        <v>18</v>
      </c>
      <c r="K68" s="35">
        <v>28</v>
      </c>
      <c r="L68" s="48"/>
      <c r="M68" s="1"/>
      <c r="N68" s="47"/>
      <c r="O68" s="37">
        <v>19</v>
      </c>
      <c r="P68" s="49">
        <f t="shared" si="8"/>
        <v>0.56565656565656564</v>
      </c>
      <c r="Q68" s="49">
        <f t="shared" si="9"/>
        <v>9.0909090909090912E-2</v>
      </c>
      <c r="R68" s="49">
        <f t="shared" si="10"/>
        <v>0.34343434343434343</v>
      </c>
      <c r="S68" s="35"/>
      <c r="T68" s="37">
        <v>19</v>
      </c>
      <c r="U68" s="49">
        <f t="shared" si="11"/>
        <v>0.54</v>
      </c>
      <c r="V68" s="49">
        <f t="shared" si="12"/>
        <v>0.18</v>
      </c>
      <c r="W68" s="49">
        <f t="shared" si="13"/>
        <v>0.28000000000000003</v>
      </c>
      <c r="X68" s="48"/>
      <c r="Y68" s="1"/>
      <c r="Z68" s="47"/>
      <c r="AA68" s="37">
        <v>19</v>
      </c>
      <c r="AB68" s="54">
        <f t="shared" si="14"/>
        <v>-2.56565656565656E-2</v>
      </c>
      <c r="AC68" s="54">
        <f t="shared" si="15"/>
        <v>6.3434343434343399E-2</v>
      </c>
      <c r="AD68" s="35"/>
      <c r="AE68" s="35"/>
      <c r="AF68" s="48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:60" x14ac:dyDescent="0.25">
      <c r="B69" s="47"/>
      <c r="C69" s="37">
        <v>20</v>
      </c>
      <c r="D69" s="35">
        <v>81</v>
      </c>
      <c r="E69" s="35">
        <v>15</v>
      </c>
      <c r="F69" s="35">
        <v>3</v>
      </c>
      <c r="G69" s="35"/>
      <c r="H69" s="37">
        <v>20</v>
      </c>
      <c r="I69" s="35">
        <v>90</v>
      </c>
      <c r="J69" s="35">
        <v>2</v>
      </c>
      <c r="K69" s="35">
        <v>8</v>
      </c>
      <c r="L69" s="48"/>
      <c r="M69" s="1"/>
      <c r="N69" s="47"/>
      <c r="O69" s="37">
        <v>20</v>
      </c>
      <c r="P69" s="49">
        <f t="shared" si="8"/>
        <v>0.81818181818181823</v>
      </c>
      <c r="Q69" s="49">
        <f t="shared" si="9"/>
        <v>0.15151515151515152</v>
      </c>
      <c r="R69" s="49">
        <f t="shared" si="10"/>
        <v>3.0303030303030304E-2</v>
      </c>
      <c r="S69" s="35"/>
      <c r="T69" s="37">
        <v>20</v>
      </c>
      <c r="U69" s="49">
        <f t="shared" si="11"/>
        <v>0.9</v>
      </c>
      <c r="V69" s="49">
        <f t="shared" si="12"/>
        <v>0.02</v>
      </c>
      <c r="W69" s="49">
        <f t="shared" si="13"/>
        <v>0.08</v>
      </c>
      <c r="X69" s="48"/>
      <c r="Y69" s="1"/>
      <c r="Z69" s="47"/>
      <c r="AA69" s="37">
        <v>20</v>
      </c>
      <c r="AB69" s="54">
        <f t="shared" si="14"/>
        <v>8.181818181818179E-2</v>
      </c>
      <c r="AC69" s="54">
        <f t="shared" si="15"/>
        <v>-4.9696969696969698E-2</v>
      </c>
      <c r="AD69" s="35"/>
      <c r="AE69" s="35"/>
      <c r="AF69" s="48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:60" ht="15.75" thickBot="1" x14ac:dyDescent="0.3">
      <c r="B70" s="50"/>
      <c r="C70" s="43"/>
      <c r="D70" s="43"/>
      <c r="E70" s="43"/>
      <c r="F70" s="43"/>
      <c r="G70" s="43"/>
      <c r="H70" s="43"/>
      <c r="I70" s="43"/>
      <c r="J70" s="43"/>
      <c r="K70" s="43"/>
      <c r="L70" s="51"/>
      <c r="M70" s="1"/>
      <c r="N70" s="50"/>
      <c r="O70" s="43"/>
      <c r="P70" s="43"/>
      <c r="Q70" s="43"/>
      <c r="R70" s="43"/>
      <c r="S70" s="43"/>
      <c r="T70" s="43"/>
      <c r="U70" s="43"/>
      <c r="V70" s="43"/>
      <c r="W70" s="43"/>
      <c r="X70" s="51"/>
      <c r="Y70" s="1"/>
      <c r="Z70" s="50"/>
      <c r="AA70" s="43"/>
      <c r="AB70" s="43"/>
      <c r="AC70" s="43"/>
      <c r="AD70" s="43"/>
      <c r="AE70" s="43"/>
      <c r="AF70" s="5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:60" ht="16.5" thickTop="1" thickBot="1" x14ac:dyDescent="0.3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2:60" ht="15.75" thickTop="1" x14ac:dyDescent="0.25">
      <c r="B72" s="44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6"/>
      <c r="O72" s="47"/>
      <c r="P72" s="44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6"/>
      <c r="AC72" s="1"/>
      <c r="AD72" s="44"/>
      <c r="AE72" s="45"/>
      <c r="AF72" s="45"/>
      <c r="AG72" s="45"/>
      <c r="AH72" s="45"/>
      <c r="AI72" s="45"/>
      <c r="AJ72" s="45"/>
      <c r="AK72" s="45"/>
      <c r="AL72" s="45"/>
      <c r="AM72" s="45"/>
      <c r="AN72" s="46"/>
      <c r="AO72" s="1"/>
      <c r="AP72" s="44"/>
      <c r="AQ72" s="45"/>
      <c r="AR72" s="45"/>
      <c r="AS72" s="46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2:60" ht="18.75" x14ac:dyDescent="0.3">
      <c r="B73" s="47"/>
      <c r="C73" s="41" t="s">
        <v>105</v>
      </c>
      <c r="D73" s="41"/>
      <c r="E73" s="41"/>
      <c r="F73" s="41"/>
      <c r="G73" s="41"/>
      <c r="H73" s="41"/>
      <c r="I73" s="42"/>
      <c r="J73" s="42"/>
      <c r="K73" s="35"/>
      <c r="L73" s="35"/>
      <c r="M73" s="35"/>
      <c r="N73" s="48"/>
      <c r="O73" s="47"/>
      <c r="P73" s="47"/>
      <c r="Q73" s="41" t="s">
        <v>112</v>
      </c>
      <c r="R73" s="41"/>
      <c r="S73" s="41"/>
      <c r="T73" s="41"/>
      <c r="U73" s="42"/>
      <c r="V73" s="42"/>
      <c r="W73" s="35"/>
      <c r="X73" s="35"/>
      <c r="Y73" s="35"/>
      <c r="Z73" s="35"/>
      <c r="AA73" s="35"/>
      <c r="AB73" s="48"/>
      <c r="AC73" s="1"/>
      <c r="AD73" s="47"/>
      <c r="AE73" s="41" t="s">
        <v>121</v>
      </c>
      <c r="AF73" s="41"/>
      <c r="AG73" s="41"/>
      <c r="AH73" s="35"/>
      <c r="AI73" s="35"/>
      <c r="AJ73" s="35"/>
      <c r="AK73" s="35"/>
      <c r="AL73" s="35"/>
      <c r="AM73" s="35"/>
      <c r="AN73" s="48"/>
      <c r="AO73" s="1"/>
      <c r="AP73" s="47"/>
      <c r="AQ73" s="41" t="s">
        <v>129</v>
      </c>
      <c r="AR73" s="42"/>
      <c r="AS73" s="48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2:60" ht="18.75" x14ac:dyDescent="0.3">
      <c r="B74" s="47"/>
      <c r="C74" s="35" t="s">
        <v>1</v>
      </c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48"/>
      <c r="O74" s="47"/>
      <c r="P74" s="47"/>
      <c r="Q74" s="35" t="s">
        <v>130</v>
      </c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48"/>
      <c r="AC74" s="1"/>
      <c r="AD74" s="47"/>
      <c r="AE74" s="40"/>
      <c r="AF74" s="40"/>
      <c r="AG74" s="40"/>
      <c r="AH74" s="35"/>
      <c r="AI74" s="35"/>
      <c r="AJ74" s="35"/>
      <c r="AK74" s="35"/>
      <c r="AL74" s="35"/>
      <c r="AM74" s="35"/>
      <c r="AN74" s="48"/>
      <c r="AO74" s="1"/>
      <c r="AP74" s="47"/>
      <c r="AQ74" s="35"/>
      <c r="AR74" s="35"/>
      <c r="AS74" s="48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 spans="2:60" x14ac:dyDescent="0.25">
      <c r="B75" s="47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48"/>
      <c r="O75" s="47"/>
      <c r="P75" s="47"/>
      <c r="Q75" s="35"/>
      <c r="R75" s="1"/>
      <c r="S75" s="35"/>
      <c r="T75" s="35"/>
      <c r="U75" s="35"/>
      <c r="V75" s="35"/>
      <c r="W75" s="35"/>
      <c r="X75" s="35"/>
      <c r="Y75" s="35"/>
      <c r="Z75" s="35"/>
      <c r="AA75" s="35"/>
      <c r="AB75" s="48"/>
      <c r="AC75" s="1"/>
      <c r="AD75" s="47"/>
      <c r="AE75" s="35"/>
      <c r="AF75" s="35"/>
      <c r="AG75" s="35"/>
      <c r="AH75" s="35"/>
      <c r="AI75" s="35"/>
      <c r="AJ75" s="35"/>
      <c r="AK75" s="35"/>
      <c r="AL75" s="35"/>
      <c r="AM75" s="35"/>
      <c r="AN75" s="48"/>
      <c r="AO75" s="1"/>
      <c r="AP75" s="47"/>
      <c r="AQ75" s="35"/>
      <c r="AR75" s="35"/>
      <c r="AS75" s="48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2:60" ht="19.5" thickBot="1" x14ac:dyDescent="0.35">
      <c r="B76" s="47"/>
      <c r="C76" s="1"/>
      <c r="D76" s="1"/>
      <c r="F76" s="43"/>
      <c r="G76" s="43"/>
      <c r="H76" s="58" t="s">
        <v>124</v>
      </c>
      <c r="I76" s="35"/>
      <c r="K76" s="43"/>
      <c r="L76" s="43"/>
      <c r="M76" s="58" t="s">
        <v>125</v>
      </c>
      <c r="N76" s="48"/>
      <c r="O76" s="60"/>
      <c r="P76" s="47"/>
      <c r="Q76" s="58"/>
      <c r="R76" s="36"/>
      <c r="S76" s="43"/>
      <c r="T76" s="43"/>
      <c r="U76" s="43"/>
      <c r="V76" s="58" t="s">
        <v>124</v>
      </c>
      <c r="W76" s="35"/>
      <c r="X76" s="58"/>
      <c r="Y76" s="43"/>
      <c r="Z76" s="43"/>
      <c r="AA76" s="58" t="s">
        <v>125</v>
      </c>
      <c r="AB76" s="48"/>
      <c r="AC76" s="1"/>
      <c r="AD76" s="47"/>
      <c r="AE76" s="43"/>
      <c r="AF76" s="43" t="s">
        <v>91</v>
      </c>
      <c r="AG76" s="43" t="s">
        <v>1</v>
      </c>
      <c r="AH76" s="35"/>
      <c r="AI76" s="43" t="s">
        <v>92</v>
      </c>
      <c r="AJ76" s="43" t="s">
        <v>130</v>
      </c>
      <c r="AK76" s="35"/>
      <c r="AL76" s="35" t="s">
        <v>127</v>
      </c>
      <c r="AN76" s="48"/>
      <c r="AO76" s="1"/>
      <c r="AP76" s="47"/>
      <c r="AQ76" s="35"/>
      <c r="AR76" s="35"/>
      <c r="AS76" s="48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</row>
    <row r="77" spans="2:60" ht="16.5" thickTop="1" x14ac:dyDescent="0.25">
      <c r="B77" s="56"/>
      <c r="C77" s="52" t="s">
        <v>0</v>
      </c>
      <c r="D77" s="36"/>
      <c r="E77" s="61" t="s">
        <v>106</v>
      </c>
      <c r="F77" s="59" t="s">
        <v>107</v>
      </c>
      <c r="G77" s="59" t="s">
        <v>108</v>
      </c>
      <c r="H77" s="59" t="s">
        <v>119</v>
      </c>
      <c r="I77" s="35"/>
      <c r="J77" s="61" t="s">
        <v>109</v>
      </c>
      <c r="K77" s="59" t="s">
        <v>110</v>
      </c>
      <c r="L77" s="59" t="s">
        <v>111</v>
      </c>
      <c r="M77" s="61" t="s">
        <v>120</v>
      </c>
      <c r="N77" s="55"/>
      <c r="O77" s="56"/>
      <c r="P77" s="56"/>
      <c r="Q77" s="38" t="s">
        <v>0</v>
      </c>
      <c r="R77" s="37"/>
      <c r="S77" s="59" t="s">
        <v>113</v>
      </c>
      <c r="T77" s="59" t="s">
        <v>114</v>
      </c>
      <c r="U77" s="59" t="s">
        <v>115</v>
      </c>
      <c r="V77" s="59" t="s">
        <v>119</v>
      </c>
      <c r="W77" s="35"/>
      <c r="X77" s="59" t="s">
        <v>116</v>
      </c>
      <c r="Y77" s="59" t="s">
        <v>117</v>
      </c>
      <c r="Z77" s="59" t="s">
        <v>118</v>
      </c>
      <c r="AA77" s="61" t="s">
        <v>120</v>
      </c>
      <c r="AB77" s="55"/>
      <c r="AC77" s="1"/>
      <c r="AD77" s="47"/>
      <c r="AE77" s="38" t="s">
        <v>0</v>
      </c>
      <c r="AF77" s="59" t="s">
        <v>122</v>
      </c>
      <c r="AG77" s="59" t="s">
        <v>123</v>
      </c>
      <c r="AH77" s="36"/>
      <c r="AI77" s="59" t="s">
        <v>122</v>
      </c>
      <c r="AJ77" s="59" t="s">
        <v>123</v>
      </c>
      <c r="AK77" s="65"/>
      <c r="AL77" s="61" t="s">
        <v>85</v>
      </c>
      <c r="AM77" s="61" t="s">
        <v>126</v>
      </c>
      <c r="AN77" s="48"/>
      <c r="AO77" s="1"/>
      <c r="AP77" s="47"/>
      <c r="AQ77" s="52" t="s">
        <v>0</v>
      </c>
      <c r="AR77" s="53" t="s">
        <v>71</v>
      </c>
      <c r="AS77" s="48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</row>
    <row r="78" spans="2:60" x14ac:dyDescent="0.25">
      <c r="B78" s="47"/>
      <c r="C78" s="37">
        <v>1</v>
      </c>
      <c r="D78" s="37"/>
      <c r="E78" s="35">
        <v>28</v>
      </c>
      <c r="F78" s="35">
        <v>28</v>
      </c>
      <c r="G78" s="35">
        <v>6</v>
      </c>
      <c r="H78" s="64">
        <f>SUM(E78:G78)</f>
        <v>62</v>
      </c>
      <c r="I78" s="35"/>
      <c r="J78" s="35">
        <v>25</v>
      </c>
      <c r="K78" s="35">
        <v>5</v>
      </c>
      <c r="L78" s="35">
        <v>6</v>
      </c>
      <c r="M78" s="64">
        <f>SUM(J78:L78)</f>
        <v>36</v>
      </c>
      <c r="N78" s="48"/>
      <c r="O78" s="47"/>
      <c r="P78" s="47"/>
      <c r="Q78" s="37">
        <v>1</v>
      </c>
      <c r="R78" s="37"/>
      <c r="S78" s="35">
        <v>3</v>
      </c>
      <c r="T78" s="35">
        <v>54</v>
      </c>
      <c r="U78" s="35">
        <v>1</v>
      </c>
      <c r="V78" s="64">
        <f>SUM(S78:U78)</f>
        <v>58</v>
      </c>
      <c r="W78" s="35"/>
      <c r="X78" s="35">
        <v>36</v>
      </c>
      <c r="Y78" s="35">
        <v>1</v>
      </c>
      <c r="Z78" s="35">
        <v>4</v>
      </c>
      <c r="AA78" s="64">
        <f>SUM(X78:Z78)</f>
        <v>41</v>
      </c>
      <c r="AB78" s="48"/>
      <c r="AC78" s="1"/>
      <c r="AD78" s="47"/>
      <c r="AE78" s="37">
        <v>1</v>
      </c>
      <c r="AF78" s="49">
        <f>H78/(H78+M78)</f>
        <v>0.63265306122448983</v>
      </c>
      <c r="AG78" s="49">
        <f>M78/(H78+M78)</f>
        <v>0.36734693877551022</v>
      </c>
      <c r="AH78" s="35"/>
      <c r="AI78" s="49">
        <f>V78/(V78+AA78)</f>
        <v>0.58585858585858586</v>
      </c>
      <c r="AJ78" s="49">
        <f>AA78/(V78+AA78)</f>
        <v>0.41414141414141414</v>
      </c>
      <c r="AK78" s="49"/>
      <c r="AL78" s="49"/>
      <c r="AM78" s="49"/>
      <c r="AN78" s="48"/>
      <c r="AO78" s="1"/>
      <c r="AP78" s="56"/>
      <c r="AQ78" s="37">
        <v>1</v>
      </c>
      <c r="AR78" s="54">
        <f>AI78-AF78</f>
        <v>-4.6794475365903976E-2</v>
      </c>
      <c r="AS78" s="48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</row>
    <row r="79" spans="2:60" x14ac:dyDescent="0.25">
      <c r="B79" s="47"/>
      <c r="C79" s="37">
        <v>2</v>
      </c>
      <c r="D79" s="37"/>
      <c r="E79" s="35">
        <v>9</v>
      </c>
      <c r="F79" s="35">
        <v>31</v>
      </c>
      <c r="G79" s="35">
        <v>3</v>
      </c>
      <c r="H79" s="64">
        <f t="shared" ref="H79:H97" si="16">SUM(E79:G79)</f>
        <v>43</v>
      </c>
      <c r="I79" s="35"/>
      <c r="J79" s="35">
        <v>52</v>
      </c>
      <c r="K79" s="35">
        <v>3</v>
      </c>
      <c r="L79" s="35">
        <v>1</v>
      </c>
      <c r="M79" s="64">
        <f t="shared" ref="M79:M97" si="17">SUM(J79:L79)</f>
        <v>56</v>
      </c>
      <c r="N79" s="48"/>
      <c r="O79" s="47"/>
      <c r="P79" s="47"/>
      <c r="Q79" s="37">
        <v>2</v>
      </c>
      <c r="R79" s="37"/>
      <c r="S79" s="35">
        <v>16</v>
      </c>
      <c r="T79" s="35">
        <v>15</v>
      </c>
      <c r="U79" s="35">
        <v>14</v>
      </c>
      <c r="V79" s="64">
        <f t="shared" ref="V79:V97" si="18">SUM(S79:U79)</f>
        <v>45</v>
      </c>
      <c r="W79" s="35"/>
      <c r="X79" s="35">
        <v>8</v>
      </c>
      <c r="Y79" s="35">
        <v>27</v>
      </c>
      <c r="Z79" s="35">
        <v>19</v>
      </c>
      <c r="AA79" s="64">
        <f t="shared" ref="AA79:AA97" si="19">SUM(X79:Z79)</f>
        <v>54</v>
      </c>
      <c r="AB79" s="48"/>
      <c r="AC79" s="1"/>
      <c r="AD79" s="47"/>
      <c r="AE79" s="37">
        <v>2</v>
      </c>
      <c r="AF79" s="49">
        <f t="shared" ref="AF79:AF97" si="20">H79/(H79+M79)</f>
        <v>0.43434343434343436</v>
      </c>
      <c r="AG79" s="49">
        <f t="shared" ref="AG79:AG97" si="21">M79/(H79+M79)</f>
        <v>0.56565656565656564</v>
      </c>
      <c r="AH79" s="35"/>
      <c r="AI79" s="49">
        <f t="shared" ref="AI79:AI97" si="22">V79/(V79+AA79)</f>
        <v>0.45454545454545453</v>
      </c>
      <c r="AJ79" s="49">
        <f t="shared" ref="AJ79:AJ97" si="23">AA79/(V79+AA79)</f>
        <v>0.54545454545454541</v>
      </c>
      <c r="AK79" s="49"/>
      <c r="AL79" s="49"/>
      <c r="AM79" s="49"/>
      <c r="AN79" s="48"/>
      <c r="AO79" s="1"/>
      <c r="AP79" s="47"/>
      <c r="AQ79" s="37">
        <v>2</v>
      </c>
      <c r="AR79" s="54">
        <f t="shared" ref="AR79:AR97" si="24">AI79-AF79</f>
        <v>2.0202020202020166E-2</v>
      </c>
      <c r="AS79" s="48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</row>
    <row r="80" spans="2:60" x14ac:dyDescent="0.25">
      <c r="B80" s="47"/>
      <c r="C80" s="37">
        <v>3</v>
      </c>
      <c r="D80" s="37"/>
      <c r="E80" s="35">
        <v>27</v>
      </c>
      <c r="F80" s="35">
        <v>30</v>
      </c>
      <c r="G80" s="35">
        <v>10</v>
      </c>
      <c r="H80" s="64">
        <f t="shared" si="16"/>
        <v>67</v>
      </c>
      <c r="I80" s="35"/>
      <c r="J80" s="35">
        <v>21</v>
      </c>
      <c r="K80" s="35">
        <v>4</v>
      </c>
      <c r="L80" s="35">
        <v>7</v>
      </c>
      <c r="M80" s="64">
        <f t="shared" si="17"/>
        <v>32</v>
      </c>
      <c r="N80" s="48"/>
      <c r="O80" s="47"/>
      <c r="P80" s="47"/>
      <c r="Q80" s="37">
        <v>3</v>
      </c>
      <c r="R80" s="37"/>
      <c r="S80" s="35">
        <v>9</v>
      </c>
      <c r="T80" s="35">
        <v>49</v>
      </c>
      <c r="U80" s="35">
        <v>2</v>
      </c>
      <c r="V80" s="64">
        <f t="shared" si="18"/>
        <v>60</v>
      </c>
      <c r="W80" s="35"/>
      <c r="X80" s="35">
        <v>29</v>
      </c>
      <c r="Y80" s="35">
        <v>0</v>
      </c>
      <c r="Z80" s="35">
        <v>10</v>
      </c>
      <c r="AA80" s="64">
        <f t="shared" si="19"/>
        <v>39</v>
      </c>
      <c r="AB80" s="48"/>
      <c r="AC80" s="1"/>
      <c r="AD80" s="47"/>
      <c r="AE80" s="37">
        <v>3</v>
      </c>
      <c r="AF80" s="49">
        <f t="shared" si="20"/>
        <v>0.6767676767676768</v>
      </c>
      <c r="AG80" s="49">
        <f t="shared" si="21"/>
        <v>0.32323232323232326</v>
      </c>
      <c r="AH80" s="35"/>
      <c r="AI80" s="49">
        <f t="shared" si="22"/>
        <v>0.60606060606060608</v>
      </c>
      <c r="AJ80" s="49">
        <f t="shared" si="23"/>
        <v>0.39393939393939392</v>
      </c>
      <c r="AK80" s="49"/>
      <c r="AL80" s="49"/>
      <c r="AM80" s="49"/>
      <c r="AN80" s="48"/>
      <c r="AO80" s="1"/>
      <c r="AP80" s="47"/>
      <c r="AQ80" s="37">
        <v>3</v>
      </c>
      <c r="AR80" s="54">
        <f t="shared" si="24"/>
        <v>-7.0707070707070718E-2</v>
      </c>
      <c r="AS80" s="48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</row>
    <row r="81" spans="2:60" x14ac:dyDescent="0.25">
      <c r="B81" s="47"/>
      <c r="C81" s="37">
        <v>4</v>
      </c>
      <c r="D81" s="37"/>
      <c r="E81" s="35">
        <v>24</v>
      </c>
      <c r="F81" s="35">
        <v>9</v>
      </c>
      <c r="G81" s="35">
        <v>21</v>
      </c>
      <c r="H81" s="64">
        <f t="shared" si="16"/>
        <v>54</v>
      </c>
      <c r="I81" s="35"/>
      <c r="J81" s="35">
        <v>27</v>
      </c>
      <c r="K81" s="35">
        <v>4</v>
      </c>
      <c r="L81" s="35">
        <v>13</v>
      </c>
      <c r="M81" s="64">
        <f t="shared" si="17"/>
        <v>44</v>
      </c>
      <c r="N81" s="48"/>
      <c r="O81" s="47"/>
      <c r="P81" s="47"/>
      <c r="Q81" s="37">
        <v>4</v>
      </c>
      <c r="R81" s="37"/>
      <c r="S81" s="35">
        <v>16</v>
      </c>
      <c r="T81" s="35">
        <v>16</v>
      </c>
      <c r="U81" s="35">
        <v>19</v>
      </c>
      <c r="V81" s="64">
        <f t="shared" si="18"/>
        <v>51</v>
      </c>
      <c r="W81" s="35"/>
      <c r="X81" s="35">
        <v>12</v>
      </c>
      <c r="Y81" s="35">
        <v>17</v>
      </c>
      <c r="Z81" s="35">
        <v>19</v>
      </c>
      <c r="AA81" s="64">
        <f t="shared" si="19"/>
        <v>48</v>
      </c>
      <c r="AB81" s="48"/>
      <c r="AC81" s="1"/>
      <c r="AD81" s="47"/>
      <c r="AE81" s="37">
        <v>4</v>
      </c>
      <c r="AF81" s="49">
        <f t="shared" si="20"/>
        <v>0.55102040816326525</v>
      </c>
      <c r="AG81" s="49">
        <f t="shared" si="21"/>
        <v>0.44897959183673469</v>
      </c>
      <c r="AH81" s="35"/>
      <c r="AI81" s="49">
        <f t="shared" si="22"/>
        <v>0.51515151515151514</v>
      </c>
      <c r="AJ81" s="49">
        <f t="shared" si="23"/>
        <v>0.48484848484848486</v>
      </c>
      <c r="AK81" s="49"/>
      <c r="AL81" s="49"/>
      <c r="AM81" s="49"/>
      <c r="AN81" s="48"/>
      <c r="AO81" s="1"/>
      <c r="AP81" s="47"/>
      <c r="AQ81" s="37">
        <v>4</v>
      </c>
      <c r="AR81" s="54">
        <f t="shared" si="24"/>
        <v>-3.5868893011750114E-2</v>
      </c>
      <c r="AS81" s="48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</row>
    <row r="82" spans="2:60" x14ac:dyDescent="0.25">
      <c r="B82" s="47"/>
      <c r="C82" s="37">
        <v>5</v>
      </c>
      <c r="D82" s="37"/>
      <c r="E82" s="35">
        <v>5</v>
      </c>
      <c r="F82" s="35">
        <v>21</v>
      </c>
      <c r="G82" s="35">
        <v>6</v>
      </c>
      <c r="H82" s="64">
        <f t="shared" si="16"/>
        <v>32</v>
      </c>
      <c r="I82" s="35"/>
      <c r="J82" s="35">
        <v>53</v>
      </c>
      <c r="K82" s="35">
        <v>2</v>
      </c>
      <c r="L82" s="35">
        <v>12</v>
      </c>
      <c r="M82" s="64">
        <f t="shared" si="17"/>
        <v>67</v>
      </c>
      <c r="N82" s="48"/>
      <c r="O82" s="47"/>
      <c r="P82" s="47"/>
      <c r="Q82" s="37">
        <v>5</v>
      </c>
      <c r="R82" s="37"/>
      <c r="S82" s="35">
        <v>8</v>
      </c>
      <c r="T82" s="35">
        <v>10</v>
      </c>
      <c r="U82" s="35">
        <v>4</v>
      </c>
      <c r="V82" s="64">
        <f t="shared" si="18"/>
        <v>22</v>
      </c>
      <c r="W82" s="35"/>
      <c r="X82" s="35">
        <v>14</v>
      </c>
      <c r="Y82" s="35">
        <v>40</v>
      </c>
      <c r="Z82" s="35">
        <v>23</v>
      </c>
      <c r="AA82" s="64">
        <f t="shared" si="19"/>
        <v>77</v>
      </c>
      <c r="AB82" s="48"/>
      <c r="AC82" s="1"/>
      <c r="AD82" s="47"/>
      <c r="AE82" s="37">
        <v>5</v>
      </c>
      <c r="AF82" s="49">
        <f t="shared" si="20"/>
        <v>0.32323232323232326</v>
      </c>
      <c r="AG82" s="49">
        <f t="shared" si="21"/>
        <v>0.6767676767676768</v>
      </c>
      <c r="AH82" s="35"/>
      <c r="AI82" s="49">
        <f t="shared" si="22"/>
        <v>0.22222222222222221</v>
      </c>
      <c r="AJ82" s="49">
        <f t="shared" si="23"/>
        <v>0.77777777777777779</v>
      </c>
      <c r="AK82" s="49"/>
      <c r="AL82" s="49"/>
      <c r="AM82" s="49"/>
      <c r="AN82" s="48"/>
      <c r="AO82" s="1"/>
      <c r="AP82" s="47"/>
      <c r="AQ82" s="37">
        <v>5</v>
      </c>
      <c r="AR82" s="54">
        <f t="shared" si="24"/>
        <v>-0.10101010101010105</v>
      </c>
      <c r="AS82" s="48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</row>
    <row r="83" spans="2:60" x14ac:dyDescent="0.25">
      <c r="B83" s="47"/>
      <c r="C83" s="37">
        <v>6</v>
      </c>
      <c r="D83" s="37"/>
      <c r="E83" s="35">
        <v>57</v>
      </c>
      <c r="F83" s="35">
        <v>40</v>
      </c>
      <c r="G83" s="35">
        <v>0</v>
      </c>
      <c r="H83" s="64">
        <f t="shared" si="16"/>
        <v>97</v>
      </c>
      <c r="I83" s="35"/>
      <c r="J83" s="35">
        <v>1</v>
      </c>
      <c r="K83" s="35">
        <v>0</v>
      </c>
      <c r="L83" s="35">
        <v>1</v>
      </c>
      <c r="M83" s="64">
        <f t="shared" si="17"/>
        <v>2</v>
      </c>
      <c r="N83" s="48"/>
      <c r="O83" s="47"/>
      <c r="P83" s="47"/>
      <c r="Q83" s="37">
        <v>6</v>
      </c>
      <c r="R83" s="37"/>
      <c r="S83" s="35">
        <v>54</v>
      </c>
      <c r="T83" s="35">
        <v>31</v>
      </c>
      <c r="U83" s="35">
        <v>5</v>
      </c>
      <c r="V83" s="64">
        <f t="shared" si="18"/>
        <v>90</v>
      </c>
      <c r="W83" s="35"/>
      <c r="X83" s="35">
        <v>5</v>
      </c>
      <c r="Y83" s="35">
        <v>2</v>
      </c>
      <c r="Z83" s="35">
        <v>2</v>
      </c>
      <c r="AA83" s="64">
        <f t="shared" si="19"/>
        <v>9</v>
      </c>
      <c r="AB83" s="48"/>
      <c r="AC83" s="1"/>
      <c r="AD83" s="47"/>
      <c r="AE83" s="37">
        <v>6</v>
      </c>
      <c r="AF83" s="49">
        <f t="shared" si="20"/>
        <v>0.97979797979797978</v>
      </c>
      <c r="AG83" s="49">
        <f t="shared" si="21"/>
        <v>2.0202020202020204E-2</v>
      </c>
      <c r="AH83" s="35"/>
      <c r="AI83" s="49">
        <f t="shared" si="22"/>
        <v>0.90909090909090906</v>
      </c>
      <c r="AJ83" s="49">
        <f t="shared" si="23"/>
        <v>9.0909090909090912E-2</v>
      </c>
      <c r="AK83" s="49"/>
      <c r="AL83" s="49"/>
      <c r="AM83" s="49"/>
      <c r="AN83" s="48"/>
      <c r="AO83" s="1"/>
      <c r="AP83" s="47"/>
      <c r="AQ83" s="37">
        <v>6</v>
      </c>
      <c r="AR83" s="54">
        <f t="shared" si="24"/>
        <v>-7.0707070707070718E-2</v>
      </c>
      <c r="AS83" s="48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2:60" x14ac:dyDescent="0.25">
      <c r="B84" s="47"/>
      <c r="C84" s="37">
        <v>7</v>
      </c>
      <c r="D84" s="37"/>
      <c r="E84" s="35">
        <v>1</v>
      </c>
      <c r="F84" s="35">
        <v>3</v>
      </c>
      <c r="G84" s="35">
        <v>2</v>
      </c>
      <c r="H84" s="64">
        <f t="shared" si="16"/>
        <v>6</v>
      </c>
      <c r="I84" s="35"/>
      <c r="J84" s="35">
        <v>27</v>
      </c>
      <c r="K84" s="35">
        <v>0</v>
      </c>
      <c r="L84" s="35">
        <v>65</v>
      </c>
      <c r="M84" s="64">
        <f t="shared" si="17"/>
        <v>92</v>
      </c>
      <c r="N84" s="48"/>
      <c r="O84" s="1"/>
      <c r="P84" s="47"/>
      <c r="Q84" s="37">
        <v>7</v>
      </c>
      <c r="R84" s="37"/>
      <c r="S84" s="35">
        <v>6</v>
      </c>
      <c r="T84" s="35">
        <v>3</v>
      </c>
      <c r="U84" s="35">
        <v>3</v>
      </c>
      <c r="V84" s="64">
        <f t="shared" si="18"/>
        <v>12</v>
      </c>
      <c r="W84" s="35"/>
      <c r="X84" s="35">
        <v>2</v>
      </c>
      <c r="Y84" s="35">
        <v>46</v>
      </c>
      <c r="Z84" s="35">
        <v>39</v>
      </c>
      <c r="AA84" s="64">
        <f t="shared" si="19"/>
        <v>87</v>
      </c>
      <c r="AB84" s="48"/>
      <c r="AC84" s="1"/>
      <c r="AD84" s="47"/>
      <c r="AE84" s="37">
        <v>7</v>
      </c>
      <c r="AF84" s="49">
        <f t="shared" si="20"/>
        <v>6.1224489795918366E-2</v>
      </c>
      <c r="AG84" s="49">
        <f t="shared" si="21"/>
        <v>0.93877551020408168</v>
      </c>
      <c r="AH84" s="35"/>
      <c r="AI84" s="49">
        <f t="shared" si="22"/>
        <v>0.12121212121212122</v>
      </c>
      <c r="AJ84" s="49">
        <f t="shared" si="23"/>
        <v>0.87878787878787878</v>
      </c>
      <c r="AK84" s="49"/>
      <c r="AL84" s="49"/>
      <c r="AM84" s="49"/>
      <c r="AN84" s="48"/>
      <c r="AO84" s="1"/>
      <c r="AP84" s="47"/>
      <c r="AQ84" s="37">
        <v>7</v>
      </c>
      <c r="AR84" s="54">
        <f t="shared" si="24"/>
        <v>5.998763141620285E-2</v>
      </c>
      <c r="AS84" s="48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2:60" x14ac:dyDescent="0.25">
      <c r="B85" s="47"/>
      <c r="C85" s="37">
        <v>8</v>
      </c>
      <c r="D85" s="37"/>
      <c r="E85" s="35">
        <v>23</v>
      </c>
      <c r="F85" s="35">
        <v>5</v>
      </c>
      <c r="G85" s="35">
        <v>34</v>
      </c>
      <c r="H85" s="64">
        <f t="shared" si="16"/>
        <v>62</v>
      </c>
      <c r="I85" s="35"/>
      <c r="J85" s="35">
        <v>19</v>
      </c>
      <c r="K85" s="35">
        <v>3</v>
      </c>
      <c r="L85" s="35">
        <v>15</v>
      </c>
      <c r="M85" s="64">
        <f t="shared" si="17"/>
        <v>37</v>
      </c>
      <c r="N85" s="48"/>
      <c r="O85" s="1"/>
      <c r="P85" s="47"/>
      <c r="Q85" s="37">
        <v>8</v>
      </c>
      <c r="R85" s="37"/>
      <c r="S85" s="35">
        <v>28</v>
      </c>
      <c r="T85" s="35">
        <v>16</v>
      </c>
      <c r="U85" s="35">
        <v>9</v>
      </c>
      <c r="V85" s="64">
        <f t="shared" si="18"/>
        <v>53</v>
      </c>
      <c r="W85" s="35"/>
      <c r="X85" s="35">
        <v>18</v>
      </c>
      <c r="Y85" s="35">
        <v>6</v>
      </c>
      <c r="Z85" s="35">
        <v>21</v>
      </c>
      <c r="AA85" s="64">
        <f t="shared" si="19"/>
        <v>45</v>
      </c>
      <c r="AB85" s="48"/>
      <c r="AC85" s="1"/>
      <c r="AD85" s="47"/>
      <c r="AE85" s="37">
        <v>8</v>
      </c>
      <c r="AF85" s="49">
        <f t="shared" si="20"/>
        <v>0.6262626262626263</v>
      </c>
      <c r="AG85" s="49">
        <f t="shared" si="21"/>
        <v>0.37373737373737376</v>
      </c>
      <c r="AH85" s="35"/>
      <c r="AI85" s="49">
        <f t="shared" si="22"/>
        <v>0.54081632653061229</v>
      </c>
      <c r="AJ85" s="49">
        <f t="shared" si="23"/>
        <v>0.45918367346938777</v>
      </c>
      <c r="AK85" s="49"/>
      <c r="AL85" s="49"/>
      <c r="AM85" s="49"/>
      <c r="AN85" s="48"/>
      <c r="AO85" s="1"/>
      <c r="AP85" s="47"/>
      <c r="AQ85" s="37">
        <v>8</v>
      </c>
      <c r="AR85" s="54">
        <f t="shared" si="24"/>
        <v>-8.5446299732014008E-2</v>
      </c>
      <c r="AS85" s="48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2:60" x14ac:dyDescent="0.25">
      <c r="B86" s="47"/>
      <c r="C86" s="37">
        <v>9</v>
      </c>
      <c r="D86" s="37"/>
      <c r="E86" s="35">
        <v>5</v>
      </c>
      <c r="F86" s="35">
        <v>0</v>
      </c>
      <c r="G86" s="35">
        <v>19</v>
      </c>
      <c r="H86" s="64">
        <f t="shared" si="16"/>
        <v>24</v>
      </c>
      <c r="I86" s="35"/>
      <c r="J86" s="35">
        <v>0</v>
      </c>
      <c r="K86" s="35">
        <v>57</v>
      </c>
      <c r="L86" s="35">
        <v>18</v>
      </c>
      <c r="M86" s="64">
        <f t="shared" si="17"/>
        <v>75</v>
      </c>
      <c r="N86" s="48"/>
      <c r="O86" s="1"/>
      <c r="P86" s="47"/>
      <c r="Q86" s="37">
        <v>9</v>
      </c>
      <c r="R86" s="37"/>
      <c r="S86" s="35">
        <v>6</v>
      </c>
      <c r="T86" s="35">
        <v>1</v>
      </c>
      <c r="U86" s="35">
        <v>24</v>
      </c>
      <c r="V86" s="64">
        <f t="shared" si="18"/>
        <v>31</v>
      </c>
      <c r="W86" s="35"/>
      <c r="X86" s="35">
        <v>3</v>
      </c>
      <c r="Y86" s="35">
        <v>62</v>
      </c>
      <c r="Z86" s="35">
        <v>3</v>
      </c>
      <c r="AA86" s="64">
        <f t="shared" si="19"/>
        <v>68</v>
      </c>
      <c r="AB86" s="48"/>
      <c r="AC86" s="1"/>
      <c r="AD86" s="47"/>
      <c r="AE86" s="37">
        <v>9</v>
      </c>
      <c r="AF86" s="49">
        <f t="shared" si="20"/>
        <v>0.24242424242424243</v>
      </c>
      <c r="AG86" s="49">
        <f t="shared" si="21"/>
        <v>0.75757575757575757</v>
      </c>
      <c r="AH86" s="35"/>
      <c r="AI86" s="49">
        <f t="shared" si="22"/>
        <v>0.31313131313131315</v>
      </c>
      <c r="AJ86" s="49">
        <f t="shared" si="23"/>
        <v>0.68686868686868685</v>
      </c>
      <c r="AK86" s="49"/>
      <c r="AL86" s="49"/>
      <c r="AM86" s="49"/>
      <c r="AN86" s="48"/>
      <c r="AO86" s="1"/>
      <c r="AP86" s="47"/>
      <c r="AQ86" s="37">
        <v>9</v>
      </c>
      <c r="AR86" s="54">
        <f t="shared" si="24"/>
        <v>7.0707070707070718E-2</v>
      </c>
      <c r="AS86" s="48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2:60" x14ac:dyDescent="0.25">
      <c r="B87" s="47"/>
      <c r="C87" s="37">
        <v>10</v>
      </c>
      <c r="D87" s="37"/>
      <c r="E87" s="35">
        <v>45</v>
      </c>
      <c r="F87" s="35">
        <v>9</v>
      </c>
      <c r="G87" s="35">
        <v>30</v>
      </c>
      <c r="H87" s="64">
        <f t="shared" si="16"/>
        <v>84</v>
      </c>
      <c r="I87" s="35"/>
      <c r="J87" s="35">
        <v>9</v>
      </c>
      <c r="K87" s="35">
        <v>5</v>
      </c>
      <c r="L87" s="35">
        <v>1</v>
      </c>
      <c r="M87" s="64">
        <f t="shared" si="17"/>
        <v>15</v>
      </c>
      <c r="N87" s="48"/>
      <c r="O87" s="1"/>
      <c r="P87" s="47"/>
      <c r="Q87" s="37">
        <v>10</v>
      </c>
      <c r="R87" s="37"/>
      <c r="S87" s="35">
        <v>60</v>
      </c>
      <c r="T87" s="35">
        <v>17</v>
      </c>
      <c r="U87" s="35">
        <v>8</v>
      </c>
      <c r="V87" s="64">
        <f t="shared" si="18"/>
        <v>85</v>
      </c>
      <c r="W87" s="35"/>
      <c r="X87" s="35">
        <v>4</v>
      </c>
      <c r="Y87" s="35">
        <v>8</v>
      </c>
      <c r="Z87" s="35">
        <v>2</v>
      </c>
      <c r="AA87" s="64">
        <f t="shared" si="19"/>
        <v>14</v>
      </c>
      <c r="AB87" s="48"/>
      <c r="AC87" s="1"/>
      <c r="AD87" s="47"/>
      <c r="AE87" s="37">
        <v>10</v>
      </c>
      <c r="AF87" s="49">
        <f t="shared" si="20"/>
        <v>0.84848484848484851</v>
      </c>
      <c r="AG87" s="49">
        <f t="shared" si="21"/>
        <v>0.15151515151515152</v>
      </c>
      <c r="AH87" s="35"/>
      <c r="AI87" s="49">
        <f t="shared" si="22"/>
        <v>0.85858585858585856</v>
      </c>
      <c r="AJ87" s="49">
        <f t="shared" si="23"/>
        <v>0.14141414141414141</v>
      </c>
      <c r="AK87" s="49"/>
      <c r="AL87" s="49"/>
      <c r="AM87" s="49"/>
      <c r="AN87" s="48"/>
      <c r="AO87" s="1"/>
      <c r="AP87" s="47"/>
      <c r="AQ87" s="37">
        <v>10</v>
      </c>
      <c r="AR87" s="54">
        <f t="shared" si="24"/>
        <v>1.0101010101010055E-2</v>
      </c>
      <c r="AS87" s="48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2:60" x14ac:dyDescent="0.25">
      <c r="B88" s="47"/>
      <c r="C88" s="37">
        <v>11</v>
      </c>
      <c r="D88" s="37"/>
      <c r="E88" s="35">
        <v>17</v>
      </c>
      <c r="F88" s="35">
        <v>22</v>
      </c>
      <c r="G88" s="35">
        <v>16</v>
      </c>
      <c r="H88" s="64">
        <f t="shared" si="16"/>
        <v>55</v>
      </c>
      <c r="I88" s="35"/>
      <c r="J88" s="35">
        <v>27</v>
      </c>
      <c r="K88" s="35">
        <v>7</v>
      </c>
      <c r="L88" s="35">
        <v>10</v>
      </c>
      <c r="M88" s="64">
        <f t="shared" si="17"/>
        <v>44</v>
      </c>
      <c r="N88" s="48"/>
      <c r="O88" s="1"/>
      <c r="P88" s="47"/>
      <c r="Q88" s="37">
        <v>11</v>
      </c>
      <c r="R88" s="37"/>
      <c r="S88" s="35">
        <v>8</v>
      </c>
      <c r="T88" s="35">
        <v>9</v>
      </c>
      <c r="U88" s="35">
        <v>25</v>
      </c>
      <c r="V88" s="64">
        <f t="shared" si="18"/>
        <v>42</v>
      </c>
      <c r="W88" s="35"/>
      <c r="X88" s="35">
        <v>2</v>
      </c>
      <c r="Y88" s="35">
        <v>49</v>
      </c>
      <c r="Z88" s="35">
        <v>6</v>
      </c>
      <c r="AA88" s="64">
        <f t="shared" si="19"/>
        <v>57</v>
      </c>
      <c r="AB88" s="48"/>
      <c r="AC88" s="1"/>
      <c r="AD88" s="47"/>
      <c r="AE88" s="37">
        <v>11</v>
      </c>
      <c r="AF88" s="49">
        <f t="shared" si="20"/>
        <v>0.55555555555555558</v>
      </c>
      <c r="AG88" s="49">
        <f t="shared" si="21"/>
        <v>0.44444444444444442</v>
      </c>
      <c r="AH88" s="35"/>
      <c r="AI88" s="49">
        <f t="shared" si="22"/>
        <v>0.42424242424242425</v>
      </c>
      <c r="AJ88" s="49">
        <f t="shared" si="23"/>
        <v>0.5757575757575758</v>
      </c>
      <c r="AK88" s="49"/>
      <c r="AL88" s="49"/>
      <c r="AM88" s="49"/>
      <c r="AN88" s="48"/>
      <c r="AO88" s="1"/>
      <c r="AP88" s="47"/>
      <c r="AQ88" s="37">
        <v>11</v>
      </c>
      <c r="AR88" s="54">
        <f t="shared" si="24"/>
        <v>-0.13131313131313133</v>
      </c>
      <c r="AS88" s="48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2:60" x14ac:dyDescent="0.25">
      <c r="B89" s="47"/>
      <c r="C89" s="37">
        <v>12</v>
      </c>
      <c r="D89" s="37"/>
      <c r="E89" s="35">
        <v>22</v>
      </c>
      <c r="F89" s="35">
        <v>15</v>
      </c>
      <c r="G89" s="35">
        <v>10</v>
      </c>
      <c r="H89" s="64">
        <f t="shared" si="16"/>
        <v>47</v>
      </c>
      <c r="I89" s="35"/>
      <c r="J89" s="35">
        <v>37</v>
      </c>
      <c r="K89" s="35">
        <v>9</v>
      </c>
      <c r="L89" s="35">
        <v>6</v>
      </c>
      <c r="M89" s="64">
        <f t="shared" si="17"/>
        <v>52</v>
      </c>
      <c r="N89" s="48"/>
      <c r="O89" s="1"/>
      <c r="P89" s="47"/>
      <c r="Q89" s="37">
        <v>12</v>
      </c>
      <c r="R89" s="37"/>
      <c r="S89" s="35">
        <v>24</v>
      </c>
      <c r="T89" s="35">
        <v>18</v>
      </c>
      <c r="U89" s="35">
        <v>10</v>
      </c>
      <c r="V89" s="64">
        <f t="shared" si="18"/>
        <v>52</v>
      </c>
      <c r="W89" s="35"/>
      <c r="X89" s="35">
        <v>3</v>
      </c>
      <c r="Y89" s="35">
        <v>23</v>
      </c>
      <c r="Z89" s="35">
        <v>21</v>
      </c>
      <c r="AA89" s="64">
        <f t="shared" si="19"/>
        <v>47</v>
      </c>
      <c r="AB89" s="48"/>
      <c r="AC89" s="1"/>
      <c r="AD89" s="47"/>
      <c r="AE89" s="37">
        <v>12</v>
      </c>
      <c r="AF89" s="49">
        <f t="shared" si="20"/>
        <v>0.47474747474747475</v>
      </c>
      <c r="AG89" s="49">
        <f t="shared" si="21"/>
        <v>0.5252525252525253</v>
      </c>
      <c r="AH89" s="35"/>
      <c r="AI89" s="49">
        <f t="shared" si="22"/>
        <v>0.5252525252525253</v>
      </c>
      <c r="AJ89" s="49">
        <f t="shared" si="23"/>
        <v>0.47474747474747475</v>
      </c>
      <c r="AK89" s="49"/>
      <c r="AL89" s="49"/>
      <c r="AM89" s="49"/>
      <c r="AN89" s="48"/>
      <c r="AO89" s="1"/>
      <c r="AP89" s="47"/>
      <c r="AQ89" s="37">
        <v>12</v>
      </c>
      <c r="AR89" s="54">
        <f t="shared" si="24"/>
        <v>5.0505050505050553E-2</v>
      </c>
      <c r="AS89" s="48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2:60" x14ac:dyDescent="0.25">
      <c r="B90" s="47"/>
      <c r="C90" s="37">
        <v>13</v>
      </c>
      <c r="D90" s="37"/>
      <c r="E90" s="35">
        <v>69</v>
      </c>
      <c r="F90" s="35">
        <v>9</v>
      </c>
      <c r="G90" s="35">
        <v>20</v>
      </c>
      <c r="H90" s="64">
        <f t="shared" si="16"/>
        <v>98</v>
      </c>
      <c r="I90" s="35"/>
      <c r="J90" s="35">
        <v>0</v>
      </c>
      <c r="K90" s="35">
        <v>0</v>
      </c>
      <c r="L90" s="35">
        <v>0</v>
      </c>
      <c r="M90" s="64">
        <f t="shared" si="17"/>
        <v>0</v>
      </c>
      <c r="N90" s="48"/>
      <c r="O90" s="1"/>
      <c r="P90" s="47"/>
      <c r="Q90" s="37">
        <v>13</v>
      </c>
      <c r="R90" s="37"/>
      <c r="S90" s="35">
        <v>71</v>
      </c>
      <c r="T90" s="35">
        <v>20</v>
      </c>
      <c r="U90" s="35">
        <v>6</v>
      </c>
      <c r="V90" s="64">
        <f t="shared" si="18"/>
        <v>97</v>
      </c>
      <c r="W90" s="35"/>
      <c r="X90" s="35">
        <v>0</v>
      </c>
      <c r="Y90" s="35">
        <v>1</v>
      </c>
      <c r="Z90" s="35">
        <v>0</v>
      </c>
      <c r="AA90" s="64">
        <f t="shared" si="19"/>
        <v>1</v>
      </c>
      <c r="AB90" s="48"/>
      <c r="AC90" s="1"/>
      <c r="AD90" s="47"/>
      <c r="AE90" s="37">
        <v>13</v>
      </c>
      <c r="AF90" s="49">
        <f t="shared" si="20"/>
        <v>1</v>
      </c>
      <c r="AG90" s="49">
        <f t="shared" si="21"/>
        <v>0</v>
      </c>
      <c r="AH90" s="35"/>
      <c r="AI90" s="49">
        <f t="shared" si="22"/>
        <v>0.98979591836734693</v>
      </c>
      <c r="AJ90" s="49">
        <f t="shared" si="23"/>
        <v>1.020408163265306E-2</v>
      </c>
      <c r="AK90" s="49"/>
      <c r="AL90" s="49"/>
      <c r="AM90" s="49"/>
      <c r="AN90" s="48"/>
      <c r="AO90" s="1"/>
      <c r="AP90" s="47"/>
      <c r="AQ90" s="37">
        <v>13</v>
      </c>
      <c r="AR90" s="54">
        <f t="shared" si="24"/>
        <v>-1.0204081632653073E-2</v>
      </c>
      <c r="AS90" s="48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2:60" x14ac:dyDescent="0.25">
      <c r="B91" s="47"/>
      <c r="C91" s="37">
        <v>14</v>
      </c>
      <c r="D91" s="37"/>
      <c r="E91" s="35">
        <v>59</v>
      </c>
      <c r="F91" s="35">
        <v>10</v>
      </c>
      <c r="G91" s="35">
        <v>23</v>
      </c>
      <c r="H91" s="64">
        <f t="shared" si="16"/>
        <v>92</v>
      </c>
      <c r="I91" s="35"/>
      <c r="J91" s="35">
        <v>5</v>
      </c>
      <c r="K91" s="35">
        <v>0</v>
      </c>
      <c r="L91" s="35">
        <v>1</v>
      </c>
      <c r="M91" s="64">
        <f t="shared" si="17"/>
        <v>6</v>
      </c>
      <c r="N91" s="48"/>
      <c r="O91" s="1"/>
      <c r="P91" s="47"/>
      <c r="Q91" s="37">
        <v>14</v>
      </c>
      <c r="R91" s="37"/>
      <c r="S91" s="35">
        <v>50</v>
      </c>
      <c r="T91" s="35">
        <v>28</v>
      </c>
      <c r="U91" s="35">
        <v>13</v>
      </c>
      <c r="V91" s="64">
        <f t="shared" si="18"/>
        <v>91</v>
      </c>
      <c r="W91" s="35"/>
      <c r="X91" s="35">
        <v>3</v>
      </c>
      <c r="Y91" s="35">
        <v>5</v>
      </c>
      <c r="Z91" s="35">
        <v>0</v>
      </c>
      <c r="AA91" s="64">
        <f t="shared" si="19"/>
        <v>8</v>
      </c>
      <c r="AB91" s="48"/>
      <c r="AC91" s="1"/>
      <c r="AD91" s="47"/>
      <c r="AE91" s="37">
        <v>14</v>
      </c>
      <c r="AF91" s="49">
        <f t="shared" si="20"/>
        <v>0.93877551020408168</v>
      </c>
      <c r="AG91" s="49">
        <f t="shared" si="21"/>
        <v>6.1224489795918366E-2</v>
      </c>
      <c r="AH91" s="35"/>
      <c r="AI91" s="49">
        <f t="shared" si="22"/>
        <v>0.91919191919191923</v>
      </c>
      <c r="AJ91" s="49">
        <f t="shared" si="23"/>
        <v>8.0808080808080815E-2</v>
      </c>
      <c r="AK91" s="49"/>
      <c r="AL91" s="49"/>
      <c r="AM91" s="49"/>
      <c r="AN91" s="48"/>
      <c r="AO91" s="1"/>
      <c r="AP91" s="47"/>
      <c r="AQ91" s="37">
        <v>14</v>
      </c>
      <c r="AR91" s="54">
        <f t="shared" si="24"/>
        <v>-1.9583591012162449E-2</v>
      </c>
      <c r="AS91" s="48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2:60" x14ac:dyDescent="0.25">
      <c r="B92" s="47"/>
      <c r="C92" s="37">
        <v>15</v>
      </c>
      <c r="D92" s="37"/>
      <c r="E92" s="35">
        <v>9</v>
      </c>
      <c r="F92" s="35">
        <v>8</v>
      </c>
      <c r="G92" s="35">
        <v>13</v>
      </c>
      <c r="H92" s="64">
        <f t="shared" si="16"/>
        <v>30</v>
      </c>
      <c r="I92" s="35"/>
      <c r="J92" s="35">
        <v>25</v>
      </c>
      <c r="K92" s="35">
        <v>14</v>
      </c>
      <c r="L92" s="35">
        <v>30</v>
      </c>
      <c r="M92" s="64">
        <f t="shared" si="17"/>
        <v>69</v>
      </c>
      <c r="N92" s="48"/>
      <c r="O92" s="1"/>
      <c r="P92" s="47"/>
      <c r="Q92" s="37">
        <v>15</v>
      </c>
      <c r="R92" s="37"/>
      <c r="S92" s="35">
        <v>6</v>
      </c>
      <c r="T92" s="35">
        <v>24</v>
      </c>
      <c r="U92" s="35">
        <v>4</v>
      </c>
      <c r="V92" s="64">
        <f t="shared" si="18"/>
        <v>34</v>
      </c>
      <c r="W92" s="35"/>
      <c r="X92" s="35">
        <v>20</v>
      </c>
      <c r="Y92" s="35">
        <v>17</v>
      </c>
      <c r="Z92" s="35">
        <v>28</v>
      </c>
      <c r="AA92" s="64">
        <f t="shared" si="19"/>
        <v>65</v>
      </c>
      <c r="AB92" s="48"/>
      <c r="AC92" s="1"/>
      <c r="AD92" s="47"/>
      <c r="AE92" s="37">
        <v>15</v>
      </c>
      <c r="AF92" s="49">
        <f t="shared" si="20"/>
        <v>0.30303030303030304</v>
      </c>
      <c r="AG92" s="49">
        <f t="shared" si="21"/>
        <v>0.69696969696969702</v>
      </c>
      <c r="AH92" s="35"/>
      <c r="AI92" s="49">
        <f t="shared" si="22"/>
        <v>0.34343434343434343</v>
      </c>
      <c r="AJ92" s="49">
        <f t="shared" si="23"/>
        <v>0.65656565656565657</v>
      </c>
      <c r="AK92" s="49"/>
      <c r="AL92" s="49"/>
      <c r="AM92" s="49"/>
      <c r="AN92" s="48"/>
      <c r="AO92" s="1"/>
      <c r="AP92" s="47"/>
      <c r="AQ92" s="37">
        <v>15</v>
      </c>
      <c r="AR92" s="54">
        <f t="shared" si="24"/>
        <v>4.0404040404040387E-2</v>
      </c>
      <c r="AS92" s="48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2:60" x14ac:dyDescent="0.25">
      <c r="B93" s="47"/>
      <c r="C93" s="37">
        <v>16</v>
      </c>
      <c r="D93" s="37"/>
      <c r="E93" s="35">
        <v>24</v>
      </c>
      <c r="F93" s="35">
        <v>23</v>
      </c>
      <c r="G93" s="35">
        <v>15</v>
      </c>
      <c r="H93" s="64">
        <f t="shared" si="16"/>
        <v>62</v>
      </c>
      <c r="I93" s="35"/>
      <c r="J93" s="35">
        <v>26</v>
      </c>
      <c r="K93" s="35">
        <v>0</v>
      </c>
      <c r="L93" s="35">
        <v>11</v>
      </c>
      <c r="M93" s="64">
        <f t="shared" si="17"/>
        <v>37</v>
      </c>
      <c r="N93" s="48"/>
      <c r="O93" s="1"/>
      <c r="P93" s="47"/>
      <c r="Q93" s="37">
        <v>16</v>
      </c>
      <c r="R93" s="37"/>
      <c r="S93" s="35">
        <v>22</v>
      </c>
      <c r="T93" s="35">
        <v>48</v>
      </c>
      <c r="U93" s="35">
        <v>4</v>
      </c>
      <c r="V93" s="64">
        <f t="shared" si="18"/>
        <v>74</v>
      </c>
      <c r="W93" s="35"/>
      <c r="X93" s="35">
        <v>10</v>
      </c>
      <c r="Y93" s="35">
        <v>7</v>
      </c>
      <c r="Z93" s="35">
        <v>8</v>
      </c>
      <c r="AA93" s="64">
        <f t="shared" si="19"/>
        <v>25</v>
      </c>
      <c r="AB93" s="48"/>
      <c r="AC93" s="1"/>
      <c r="AD93" s="47"/>
      <c r="AE93" s="37">
        <v>16</v>
      </c>
      <c r="AF93" s="49">
        <f t="shared" si="20"/>
        <v>0.6262626262626263</v>
      </c>
      <c r="AG93" s="49">
        <f t="shared" si="21"/>
        <v>0.37373737373737376</v>
      </c>
      <c r="AH93" s="35"/>
      <c r="AI93" s="49">
        <f t="shared" si="22"/>
        <v>0.74747474747474751</v>
      </c>
      <c r="AJ93" s="49">
        <f t="shared" si="23"/>
        <v>0.25252525252525254</v>
      </c>
      <c r="AK93" s="49"/>
      <c r="AL93" s="49"/>
      <c r="AM93" s="49"/>
      <c r="AN93" s="48"/>
      <c r="AO93" s="1"/>
      <c r="AP93" s="47"/>
      <c r="AQ93" s="37">
        <v>16</v>
      </c>
      <c r="AR93" s="54">
        <f t="shared" si="24"/>
        <v>0.12121212121212122</v>
      </c>
      <c r="AS93" s="48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2:60" x14ac:dyDescent="0.25">
      <c r="B94" s="47"/>
      <c r="C94" s="37">
        <v>17</v>
      </c>
      <c r="D94" s="37"/>
      <c r="E94" s="35">
        <v>23</v>
      </c>
      <c r="F94" s="35">
        <v>12</v>
      </c>
      <c r="G94" s="35">
        <v>8</v>
      </c>
      <c r="H94" s="64">
        <f t="shared" si="16"/>
        <v>43</v>
      </c>
      <c r="I94" s="35"/>
      <c r="J94" s="35">
        <v>25</v>
      </c>
      <c r="K94" s="35">
        <v>10</v>
      </c>
      <c r="L94" s="35">
        <v>20</v>
      </c>
      <c r="M94" s="64">
        <f t="shared" si="17"/>
        <v>55</v>
      </c>
      <c r="N94" s="48"/>
      <c r="O94" s="1"/>
      <c r="P94" s="47"/>
      <c r="Q94" s="37">
        <v>17</v>
      </c>
      <c r="R94" s="37"/>
      <c r="S94" s="35">
        <v>19</v>
      </c>
      <c r="T94" s="35">
        <v>8</v>
      </c>
      <c r="U94" s="35">
        <v>15</v>
      </c>
      <c r="V94" s="64">
        <f t="shared" si="18"/>
        <v>42</v>
      </c>
      <c r="W94" s="35"/>
      <c r="X94" s="35">
        <v>6</v>
      </c>
      <c r="Y94" s="35">
        <v>29</v>
      </c>
      <c r="Z94" s="35">
        <v>22</v>
      </c>
      <c r="AA94" s="64">
        <f t="shared" si="19"/>
        <v>57</v>
      </c>
      <c r="AB94" s="48"/>
      <c r="AC94" s="1"/>
      <c r="AD94" s="47"/>
      <c r="AE94" s="37">
        <v>17</v>
      </c>
      <c r="AF94" s="49">
        <f t="shared" si="20"/>
        <v>0.43877551020408162</v>
      </c>
      <c r="AG94" s="49">
        <f t="shared" si="21"/>
        <v>0.56122448979591832</v>
      </c>
      <c r="AH94" s="35"/>
      <c r="AI94" s="49">
        <f t="shared" si="22"/>
        <v>0.42424242424242425</v>
      </c>
      <c r="AJ94" s="49">
        <f t="shared" si="23"/>
        <v>0.5757575757575758</v>
      </c>
      <c r="AK94" s="49"/>
      <c r="AL94" s="49"/>
      <c r="AM94" s="49"/>
      <c r="AN94" s="48"/>
      <c r="AO94" s="1"/>
      <c r="AP94" s="47"/>
      <c r="AQ94" s="37">
        <v>17</v>
      </c>
      <c r="AR94" s="54">
        <f t="shared" si="24"/>
        <v>-1.4533085961657366E-2</v>
      </c>
      <c r="AS94" s="48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2:60" x14ac:dyDescent="0.25">
      <c r="B95" s="47"/>
      <c r="C95" s="37">
        <v>18</v>
      </c>
      <c r="D95" s="37"/>
      <c r="E95" s="35">
        <v>16</v>
      </c>
      <c r="F95" s="35">
        <v>5</v>
      </c>
      <c r="G95" s="35">
        <v>43</v>
      </c>
      <c r="H95" s="64">
        <f t="shared" si="16"/>
        <v>64</v>
      </c>
      <c r="I95" s="35"/>
      <c r="J95" s="35">
        <v>16</v>
      </c>
      <c r="K95" s="35">
        <v>13</v>
      </c>
      <c r="L95" s="35">
        <v>6</v>
      </c>
      <c r="M95" s="64">
        <f t="shared" si="17"/>
        <v>35</v>
      </c>
      <c r="N95" s="48"/>
      <c r="O95" s="1"/>
      <c r="P95" s="47"/>
      <c r="Q95" s="37">
        <v>18</v>
      </c>
      <c r="R95" s="37"/>
      <c r="S95" s="35">
        <v>28</v>
      </c>
      <c r="T95" s="35">
        <v>19</v>
      </c>
      <c r="U95" s="35">
        <v>9</v>
      </c>
      <c r="V95" s="64">
        <f t="shared" si="18"/>
        <v>56</v>
      </c>
      <c r="W95" s="35"/>
      <c r="X95" s="35">
        <v>23</v>
      </c>
      <c r="Y95" s="35">
        <v>5</v>
      </c>
      <c r="Z95" s="35">
        <v>15</v>
      </c>
      <c r="AA95" s="64">
        <f t="shared" si="19"/>
        <v>43</v>
      </c>
      <c r="AB95" s="48"/>
      <c r="AC95" s="1"/>
      <c r="AD95" s="47"/>
      <c r="AE95" s="37">
        <v>18</v>
      </c>
      <c r="AF95" s="49">
        <f t="shared" si="20"/>
        <v>0.64646464646464652</v>
      </c>
      <c r="AG95" s="49">
        <f t="shared" si="21"/>
        <v>0.35353535353535354</v>
      </c>
      <c r="AH95" s="35"/>
      <c r="AI95" s="49">
        <f t="shared" si="22"/>
        <v>0.56565656565656564</v>
      </c>
      <c r="AJ95" s="49">
        <f t="shared" si="23"/>
        <v>0.43434343434343436</v>
      </c>
      <c r="AK95" s="49"/>
      <c r="AL95" s="49"/>
      <c r="AM95" s="49"/>
      <c r="AN95" s="48"/>
      <c r="AO95" s="1"/>
      <c r="AP95" s="47"/>
      <c r="AQ95" s="37">
        <v>18</v>
      </c>
      <c r="AR95" s="54">
        <f t="shared" si="24"/>
        <v>-8.0808080808080884E-2</v>
      </c>
      <c r="AS95" s="48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2:60" x14ac:dyDescent="0.25">
      <c r="B96" s="47"/>
      <c r="C96" s="37">
        <v>19</v>
      </c>
      <c r="D96" s="37"/>
      <c r="E96" s="35">
        <v>44</v>
      </c>
      <c r="F96" s="35">
        <v>13</v>
      </c>
      <c r="G96" s="35">
        <v>8</v>
      </c>
      <c r="H96" s="64">
        <f t="shared" si="16"/>
        <v>65</v>
      </c>
      <c r="I96" s="35"/>
      <c r="J96" s="35">
        <v>25</v>
      </c>
      <c r="K96" s="35">
        <v>1</v>
      </c>
      <c r="L96" s="35">
        <v>7</v>
      </c>
      <c r="M96" s="64">
        <f t="shared" si="17"/>
        <v>33</v>
      </c>
      <c r="N96" s="48"/>
      <c r="O96" s="1"/>
      <c r="P96" s="47"/>
      <c r="Q96" s="37">
        <v>19</v>
      </c>
      <c r="R96" s="37"/>
      <c r="S96" s="35">
        <v>23</v>
      </c>
      <c r="T96" s="35">
        <v>32</v>
      </c>
      <c r="U96" s="35">
        <v>7</v>
      </c>
      <c r="V96" s="64">
        <f>SUM(S96:U96)</f>
        <v>62</v>
      </c>
      <c r="W96" s="35"/>
      <c r="X96" s="35">
        <v>11</v>
      </c>
      <c r="Y96" s="35">
        <v>10</v>
      </c>
      <c r="Z96" s="35">
        <v>16</v>
      </c>
      <c r="AA96" s="64">
        <f t="shared" si="19"/>
        <v>37</v>
      </c>
      <c r="AB96" s="48"/>
      <c r="AC96" s="1"/>
      <c r="AD96" s="47"/>
      <c r="AE96" s="37">
        <v>19</v>
      </c>
      <c r="AF96" s="49">
        <f t="shared" si="20"/>
        <v>0.66326530612244894</v>
      </c>
      <c r="AG96" s="49">
        <f t="shared" si="21"/>
        <v>0.33673469387755101</v>
      </c>
      <c r="AH96" s="35"/>
      <c r="AI96" s="49">
        <f t="shared" si="22"/>
        <v>0.6262626262626263</v>
      </c>
      <c r="AJ96" s="49">
        <f t="shared" si="23"/>
        <v>0.37373737373737376</v>
      </c>
      <c r="AK96" s="49"/>
      <c r="AL96" s="49"/>
      <c r="AM96" s="49"/>
      <c r="AN96" s="48"/>
      <c r="AO96" s="1"/>
      <c r="AP96" s="47"/>
      <c r="AQ96" s="37">
        <v>19</v>
      </c>
      <c r="AR96" s="54">
        <f t="shared" si="24"/>
        <v>-3.700267985982264E-2</v>
      </c>
      <c r="AS96" s="48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2:56" x14ac:dyDescent="0.25">
      <c r="B97" s="47"/>
      <c r="C97" s="37">
        <v>20</v>
      </c>
      <c r="D97" s="37"/>
      <c r="E97" s="35">
        <v>72</v>
      </c>
      <c r="F97" s="35">
        <v>11</v>
      </c>
      <c r="G97" s="35">
        <v>12</v>
      </c>
      <c r="H97" s="64">
        <f t="shared" si="16"/>
        <v>95</v>
      </c>
      <c r="I97" s="35"/>
      <c r="J97" s="35">
        <v>1</v>
      </c>
      <c r="K97" s="35">
        <v>1</v>
      </c>
      <c r="L97" s="35">
        <v>1</v>
      </c>
      <c r="M97" s="64">
        <f t="shared" si="17"/>
        <v>3</v>
      </c>
      <c r="N97" s="48"/>
      <c r="O97" s="1"/>
      <c r="P97" s="47"/>
      <c r="Q97" s="37">
        <v>20</v>
      </c>
      <c r="R97" s="37"/>
      <c r="S97" s="35">
        <v>10</v>
      </c>
      <c r="T97" s="35">
        <v>81</v>
      </c>
      <c r="U97" s="35">
        <v>2</v>
      </c>
      <c r="V97" s="64">
        <f t="shared" si="18"/>
        <v>93</v>
      </c>
      <c r="W97" s="35"/>
      <c r="X97" s="35">
        <v>6</v>
      </c>
      <c r="Y97" s="35">
        <v>0</v>
      </c>
      <c r="Z97" s="35">
        <v>0</v>
      </c>
      <c r="AA97" s="64">
        <f t="shared" si="19"/>
        <v>6</v>
      </c>
      <c r="AB97" s="48"/>
      <c r="AC97" s="1"/>
      <c r="AD97" s="47"/>
      <c r="AE97" s="37">
        <v>20</v>
      </c>
      <c r="AF97" s="49">
        <f t="shared" si="20"/>
        <v>0.96938775510204078</v>
      </c>
      <c r="AG97" s="49">
        <f t="shared" si="21"/>
        <v>3.0612244897959183E-2</v>
      </c>
      <c r="AH97" s="35"/>
      <c r="AI97" s="49">
        <f t="shared" si="22"/>
        <v>0.93939393939393945</v>
      </c>
      <c r="AJ97" s="49">
        <f t="shared" si="23"/>
        <v>6.0606060606060608E-2</v>
      </c>
      <c r="AK97" s="49"/>
      <c r="AL97" s="49"/>
      <c r="AM97" s="49"/>
      <c r="AN97" s="48"/>
      <c r="AO97" s="1"/>
      <c r="AP97" s="47"/>
      <c r="AQ97" s="37">
        <v>20</v>
      </c>
      <c r="AR97" s="54">
        <f t="shared" si="24"/>
        <v>-2.9993815708101335E-2</v>
      </c>
      <c r="AS97" s="48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2:56" ht="15.75" thickBot="1" x14ac:dyDescent="0.3">
      <c r="B98" s="50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51"/>
      <c r="O98" s="1"/>
      <c r="P98" s="50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51"/>
      <c r="AC98" s="1"/>
      <c r="AD98" s="50"/>
      <c r="AE98" s="43"/>
      <c r="AF98" s="43"/>
      <c r="AG98" s="43"/>
      <c r="AH98" s="43"/>
      <c r="AI98" s="43"/>
      <c r="AJ98" s="43"/>
      <c r="AK98" s="43"/>
      <c r="AL98" s="43"/>
      <c r="AM98" s="43"/>
      <c r="AN98" s="51"/>
      <c r="AO98" s="1"/>
      <c r="AP98" s="50"/>
      <c r="AQ98" s="43"/>
      <c r="AR98" s="43"/>
      <c r="AS98" s="5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2:56" ht="15.75" thickTop="1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AC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2:56" s="1" customFormat="1" x14ac:dyDescent="0.25"/>
    <row r="101" spans="2:56" s="1" customFormat="1" x14ac:dyDescent="0.25">
      <c r="AR101" s="103"/>
    </row>
    <row r="102" spans="2:56" s="1" customFormat="1" x14ac:dyDescent="0.25"/>
    <row r="103" spans="2:56" s="1" customFormat="1" x14ac:dyDescent="0.25"/>
    <row r="104" spans="2:56" s="1" customFormat="1" x14ac:dyDescent="0.25"/>
    <row r="105" spans="2:56" s="1" customFormat="1" ht="18.75" x14ac:dyDescent="0.3">
      <c r="B105" s="33"/>
      <c r="C105" s="34" t="s">
        <v>131</v>
      </c>
      <c r="D105" s="34"/>
      <c r="E105" s="34"/>
      <c r="F105" s="34"/>
      <c r="G105" s="34"/>
      <c r="H105" s="34"/>
      <c r="I105" s="34"/>
      <c r="J105" s="34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</row>
    <row r="106" spans="2:56" s="1" customFormat="1" ht="18.75" x14ac:dyDescent="0.3">
      <c r="B106" s="33"/>
      <c r="C106" s="34" t="s">
        <v>146</v>
      </c>
      <c r="D106" s="34"/>
      <c r="E106" s="34"/>
      <c r="F106" s="34"/>
      <c r="G106" s="34"/>
      <c r="H106" s="34"/>
      <c r="I106" s="34"/>
      <c r="J106" s="34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</row>
    <row r="107" spans="2:56" s="1" customFormat="1" ht="19.5" thickBot="1" x14ac:dyDescent="0.35">
      <c r="B107" s="33"/>
      <c r="C107" s="33"/>
      <c r="D107" s="34"/>
      <c r="E107" s="34"/>
      <c r="F107" s="34"/>
      <c r="G107" s="34"/>
      <c r="H107" s="34"/>
      <c r="I107" s="34"/>
      <c r="J107" s="34"/>
      <c r="K107" s="34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</row>
    <row r="108" spans="2:56" s="1" customFormat="1" ht="15.75" thickTop="1" x14ac:dyDescent="0.25">
      <c r="B108" s="44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6"/>
      <c r="U108" s="35"/>
      <c r="V108" s="44"/>
      <c r="W108" s="45"/>
      <c r="X108" s="45"/>
      <c r="Y108" s="45"/>
      <c r="Z108" s="45"/>
      <c r="AA108" s="45"/>
      <c r="AB108" s="45"/>
      <c r="AC108" s="45"/>
      <c r="AD108" s="45"/>
      <c r="AE108" s="45"/>
      <c r="AF108" s="46"/>
      <c r="AG108" s="35"/>
      <c r="AH108" s="44"/>
      <c r="AI108" s="45"/>
      <c r="AJ108" s="45"/>
      <c r="AK108" s="45"/>
      <c r="AL108" s="45"/>
      <c r="AM108" s="45"/>
      <c r="AN108" s="46"/>
    </row>
    <row r="109" spans="2:56" s="1" customFormat="1" ht="18.75" x14ac:dyDescent="0.3">
      <c r="B109" s="47"/>
      <c r="C109" s="67" t="s">
        <v>93</v>
      </c>
      <c r="D109" s="67"/>
      <c r="E109" s="67"/>
      <c r="F109" s="67"/>
      <c r="G109" s="67"/>
      <c r="H109" s="67"/>
      <c r="I109" s="40"/>
      <c r="J109" s="40"/>
      <c r="K109" s="35"/>
      <c r="L109" s="35"/>
      <c r="M109" s="35"/>
      <c r="N109" s="35"/>
      <c r="O109" s="35"/>
      <c r="P109" s="40"/>
      <c r="Q109" s="40"/>
      <c r="R109" s="40"/>
      <c r="S109" s="40"/>
      <c r="T109" s="48"/>
      <c r="U109" s="35"/>
      <c r="V109" s="47"/>
      <c r="W109" s="67" t="s">
        <v>94</v>
      </c>
      <c r="X109" s="67"/>
      <c r="Y109" s="67"/>
      <c r="Z109" s="40"/>
      <c r="AA109" s="35"/>
      <c r="AB109" s="35"/>
      <c r="AC109" s="35"/>
      <c r="AD109" s="35"/>
      <c r="AE109" s="35"/>
      <c r="AF109" s="48"/>
      <c r="AG109" s="35"/>
      <c r="AH109" s="47"/>
      <c r="AI109" s="67" t="s">
        <v>95</v>
      </c>
      <c r="AJ109" s="62"/>
      <c r="AK109" s="62"/>
      <c r="AL109" s="62"/>
      <c r="AM109" s="62"/>
      <c r="AN109" s="48"/>
    </row>
    <row r="110" spans="2:56" s="1" customFormat="1" x14ac:dyDescent="0.25">
      <c r="B110" s="47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48"/>
      <c r="U110" s="35"/>
      <c r="V110" s="47"/>
      <c r="W110" s="35"/>
      <c r="X110" s="35"/>
      <c r="Y110" s="35"/>
      <c r="Z110" s="35"/>
      <c r="AA110" s="35"/>
      <c r="AB110" s="35"/>
      <c r="AC110" s="35"/>
      <c r="AD110" s="35"/>
      <c r="AE110" s="35"/>
      <c r="AF110" s="48"/>
      <c r="AG110" s="35"/>
      <c r="AH110" s="47"/>
      <c r="AI110" s="35"/>
      <c r="AJ110" s="35"/>
      <c r="AK110" s="35"/>
      <c r="AL110" s="35"/>
      <c r="AM110" s="35"/>
      <c r="AN110" s="48"/>
    </row>
    <row r="111" spans="2:56" s="1" customFormat="1" ht="15.75" thickBot="1" x14ac:dyDescent="0.3">
      <c r="B111" s="47"/>
      <c r="C111" s="43"/>
      <c r="D111" s="43" t="s">
        <v>91</v>
      </c>
      <c r="E111" s="43" t="s">
        <v>138</v>
      </c>
      <c r="F111" s="43"/>
      <c r="G111" s="43"/>
      <c r="H111" s="43"/>
      <c r="I111" s="43"/>
      <c r="J111" s="43"/>
      <c r="K111" s="35"/>
      <c r="L111" s="43"/>
      <c r="M111" s="43" t="s">
        <v>92</v>
      </c>
      <c r="N111" s="43" t="s">
        <v>138</v>
      </c>
      <c r="O111" s="43"/>
      <c r="P111" s="43"/>
      <c r="Q111" s="43"/>
      <c r="R111" s="43"/>
      <c r="S111" s="43"/>
      <c r="T111" s="48"/>
      <c r="U111" s="35"/>
      <c r="V111" s="47"/>
      <c r="W111" s="43"/>
      <c r="X111" s="43" t="s">
        <v>91</v>
      </c>
      <c r="Y111" s="43" t="s">
        <v>138</v>
      </c>
      <c r="Z111" s="43"/>
      <c r="AA111" s="35"/>
      <c r="AB111" s="43"/>
      <c r="AC111" s="43" t="s">
        <v>92</v>
      </c>
      <c r="AD111" s="43" t="s">
        <v>138</v>
      </c>
      <c r="AE111" s="43"/>
      <c r="AF111" s="48"/>
      <c r="AG111" s="35"/>
      <c r="AH111" s="47"/>
      <c r="AI111" s="35"/>
      <c r="AJ111" s="35"/>
      <c r="AK111" s="35"/>
      <c r="AL111" s="35"/>
      <c r="AM111" s="35"/>
      <c r="AN111" s="48"/>
    </row>
    <row r="112" spans="2:56" s="1" customFormat="1" ht="16.5" thickTop="1" x14ac:dyDescent="0.25">
      <c r="B112" s="47"/>
      <c r="C112" s="68" t="s">
        <v>0</v>
      </c>
      <c r="D112" s="69" t="s">
        <v>87</v>
      </c>
      <c r="E112" s="69" t="s">
        <v>88</v>
      </c>
      <c r="F112" s="69" t="s">
        <v>5</v>
      </c>
      <c r="G112" s="69" t="s">
        <v>132</v>
      </c>
      <c r="H112" s="69" t="s">
        <v>133</v>
      </c>
      <c r="I112" s="69" t="s">
        <v>134</v>
      </c>
      <c r="J112" s="69" t="s">
        <v>135</v>
      </c>
      <c r="K112" s="35"/>
      <c r="L112" s="68" t="s">
        <v>0</v>
      </c>
      <c r="M112" s="69" t="s">
        <v>87</v>
      </c>
      <c r="N112" s="69" t="s">
        <v>88</v>
      </c>
      <c r="O112" s="69" t="s">
        <v>4</v>
      </c>
      <c r="P112" s="69" t="s">
        <v>136</v>
      </c>
      <c r="Q112" s="69" t="s">
        <v>137</v>
      </c>
      <c r="R112" s="69" t="s">
        <v>134</v>
      </c>
      <c r="S112" s="69" t="s">
        <v>135</v>
      </c>
      <c r="T112" s="48"/>
      <c r="U112" s="35"/>
      <c r="V112" s="47"/>
      <c r="W112" s="68" t="s">
        <v>0</v>
      </c>
      <c r="X112" s="69" t="s">
        <v>87</v>
      </c>
      <c r="Y112" s="69" t="s">
        <v>88</v>
      </c>
      <c r="Z112" s="69" t="s">
        <v>5</v>
      </c>
      <c r="AA112" s="36"/>
      <c r="AB112" s="68" t="s">
        <v>0</v>
      </c>
      <c r="AC112" s="69" t="s">
        <v>87</v>
      </c>
      <c r="AD112" s="69" t="s">
        <v>88</v>
      </c>
      <c r="AE112" s="69" t="s">
        <v>4</v>
      </c>
      <c r="AF112" s="48"/>
      <c r="AG112" s="35"/>
      <c r="AH112" s="47"/>
      <c r="AI112" s="63" t="s">
        <v>0</v>
      </c>
      <c r="AJ112" s="71" t="s">
        <v>96</v>
      </c>
      <c r="AK112" s="71" t="s">
        <v>97</v>
      </c>
      <c r="AL112" s="35"/>
      <c r="AM112" s="35"/>
      <c r="AN112" s="48"/>
    </row>
    <row r="113" spans="2:40" s="1" customFormat="1" x14ac:dyDescent="0.25">
      <c r="B113" s="47"/>
      <c r="C113" s="37">
        <v>1</v>
      </c>
      <c r="D113" s="35">
        <v>5</v>
      </c>
      <c r="E113" s="35">
        <v>47</v>
      </c>
      <c r="F113" s="35">
        <v>5</v>
      </c>
      <c r="G113" s="35">
        <v>13</v>
      </c>
      <c r="H113" s="35">
        <v>0</v>
      </c>
      <c r="I113" s="35">
        <v>0</v>
      </c>
      <c r="J113" s="35">
        <v>0</v>
      </c>
      <c r="K113" s="35"/>
      <c r="L113" s="37">
        <v>1</v>
      </c>
      <c r="M113" s="35">
        <v>62</v>
      </c>
      <c r="N113" s="35">
        <v>19</v>
      </c>
      <c r="O113" s="35">
        <v>0</v>
      </c>
      <c r="P113" s="35">
        <v>0</v>
      </c>
      <c r="Q113" s="35">
        <v>0</v>
      </c>
      <c r="R113" s="35">
        <v>1</v>
      </c>
      <c r="S113" s="35">
        <v>0</v>
      </c>
      <c r="T113" s="48"/>
      <c r="U113" s="35"/>
      <c r="V113" s="47"/>
      <c r="W113" s="37">
        <v>1</v>
      </c>
      <c r="X113" s="49">
        <f>D113/(D113+E113+F113+G113+H113+I113+J113)</f>
        <v>7.1428571428571425E-2</v>
      </c>
      <c r="Y113" s="49">
        <f>E113/(E113+D113+F113+G113+H113+I113+J113)</f>
        <v>0.67142857142857137</v>
      </c>
      <c r="Z113" s="49">
        <f>F113/(F113+D113+G113+H113+I113+J113+E113)</f>
        <v>7.1428571428571425E-2</v>
      </c>
      <c r="AA113" s="35"/>
      <c r="AB113" s="37">
        <v>1</v>
      </c>
      <c r="AC113" s="49">
        <f>M113/(R113+S113+Q113+P113+M113+N113+O113)</f>
        <v>0.75609756097560976</v>
      </c>
      <c r="AD113" s="49">
        <f>N113/(S113+M113+R113+Q113+N113+O113+P113)</f>
        <v>0.23170731707317074</v>
      </c>
      <c r="AE113" s="49">
        <f>O113/(M113+N113+S113+R113+O113+P113+Q113)</f>
        <v>0</v>
      </c>
      <c r="AF113" s="48"/>
      <c r="AG113" s="35"/>
      <c r="AH113" s="47"/>
      <c r="AI113" s="37">
        <v>1</v>
      </c>
      <c r="AJ113" s="54">
        <f t="shared" ref="AJ113:AJ132" si="25">AC113-X113</f>
        <v>0.68466898954703836</v>
      </c>
      <c r="AK113" s="54">
        <f t="shared" ref="AK113:AK132" si="26">Y113-AD113</f>
        <v>0.43972125435540066</v>
      </c>
      <c r="AL113" s="35"/>
      <c r="AM113" s="35"/>
      <c r="AN113" s="48"/>
    </row>
    <row r="114" spans="2:40" s="1" customFormat="1" x14ac:dyDescent="0.25">
      <c r="B114" s="47"/>
      <c r="C114" s="37">
        <v>2</v>
      </c>
      <c r="D114" s="35">
        <v>15</v>
      </c>
      <c r="E114" s="35">
        <v>32</v>
      </c>
      <c r="F114" s="35">
        <v>3</v>
      </c>
      <c r="G114" s="35">
        <v>3</v>
      </c>
      <c r="H114" s="35">
        <v>0</v>
      </c>
      <c r="I114" s="35">
        <v>15</v>
      </c>
      <c r="J114" s="35">
        <v>1</v>
      </c>
      <c r="K114" s="35"/>
      <c r="L114" s="37">
        <v>2</v>
      </c>
      <c r="M114" s="35">
        <v>40</v>
      </c>
      <c r="N114" s="35">
        <v>21</v>
      </c>
      <c r="O114" s="35">
        <v>12</v>
      </c>
      <c r="P114" s="35">
        <v>0</v>
      </c>
      <c r="Q114" s="35">
        <v>1</v>
      </c>
      <c r="R114" s="35">
        <v>0</v>
      </c>
      <c r="S114" s="35">
        <v>8</v>
      </c>
      <c r="T114" s="48"/>
      <c r="U114" s="35"/>
      <c r="V114" s="47"/>
      <c r="W114" s="37">
        <v>2</v>
      </c>
      <c r="X114" s="49">
        <f t="shared" ref="X114:X132" si="27">D114/(D114+E114+F114+G114+H114+I114+J114)</f>
        <v>0.21739130434782608</v>
      </c>
      <c r="Y114" s="49">
        <f t="shared" ref="Y114:Y132" si="28">E114/(E114+D114+F114+G114+H114+I114+J114)</f>
        <v>0.46376811594202899</v>
      </c>
      <c r="Z114" s="49">
        <f t="shared" ref="Z114:Z132" si="29">F114/(F114+D114+G114+H114+I114+J114+E114)</f>
        <v>4.3478260869565216E-2</v>
      </c>
      <c r="AA114" s="35"/>
      <c r="AB114" s="37">
        <v>2</v>
      </c>
      <c r="AC114" s="49">
        <f t="shared" ref="AC114:AC132" si="30">M114/(R114+S114+Q114+P114+M114+N114+O114)</f>
        <v>0.48780487804878048</v>
      </c>
      <c r="AD114" s="49">
        <f t="shared" ref="AD114:AD132" si="31">N114/(S114+M114+R114+Q114+N114+O114+P114)</f>
        <v>0.25609756097560976</v>
      </c>
      <c r="AE114" s="49">
        <f t="shared" ref="AE114:AE132" si="32">O114/(M114+N114+S114+R114+O114+P114+Q114)</f>
        <v>0.14634146341463414</v>
      </c>
      <c r="AF114" s="48"/>
      <c r="AG114" s="35"/>
      <c r="AH114" s="47"/>
      <c r="AI114" s="37">
        <v>2</v>
      </c>
      <c r="AJ114" s="54">
        <f t="shared" si="25"/>
        <v>0.27041357370095442</v>
      </c>
      <c r="AK114" s="54">
        <f t="shared" si="26"/>
        <v>0.20767055496641923</v>
      </c>
      <c r="AL114" s="35"/>
      <c r="AM114" s="35"/>
      <c r="AN114" s="48"/>
    </row>
    <row r="115" spans="2:40" s="1" customFormat="1" x14ac:dyDescent="0.25">
      <c r="B115" s="47"/>
      <c r="C115" s="37">
        <v>3</v>
      </c>
      <c r="D115" s="35">
        <v>6</v>
      </c>
      <c r="E115" s="35">
        <v>23</v>
      </c>
      <c r="F115" s="35">
        <v>28</v>
      </c>
      <c r="G115" s="35">
        <v>2</v>
      </c>
      <c r="H115" s="35">
        <v>3</v>
      </c>
      <c r="I115" s="35">
        <v>6</v>
      </c>
      <c r="J115" s="35">
        <v>2</v>
      </c>
      <c r="K115" s="35"/>
      <c r="L115" s="37">
        <v>3</v>
      </c>
      <c r="M115" s="35">
        <v>21</v>
      </c>
      <c r="N115" s="35">
        <v>18</v>
      </c>
      <c r="O115" s="35">
        <v>33</v>
      </c>
      <c r="P115" s="35">
        <v>0</v>
      </c>
      <c r="Q115" s="35">
        <v>1</v>
      </c>
      <c r="R115" s="35">
        <v>8</v>
      </c>
      <c r="S115" s="35">
        <v>1</v>
      </c>
      <c r="T115" s="48"/>
      <c r="U115" s="35"/>
      <c r="V115" s="47"/>
      <c r="W115" s="37">
        <v>3</v>
      </c>
      <c r="X115" s="49">
        <f t="shared" si="27"/>
        <v>8.5714285714285715E-2</v>
      </c>
      <c r="Y115" s="49">
        <f t="shared" si="28"/>
        <v>0.32857142857142857</v>
      </c>
      <c r="Z115" s="49">
        <f t="shared" si="29"/>
        <v>0.4</v>
      </c>
      <c r="AA115" s="35"/>
      <c r="AB115" s="37">
        <v>3</v>
      </c>
      <c r="AC115" s="49">
        <f t="shared" si="30"/>
        <v>0.25609756097560976</v>
      </c>
      <c r="AD115" s="49">
        <f t="shared" si="31"/>
        <v>0.21951219512195122</v>
      </c>
      <c r="AE115" s="49">
        <f t="shared" si="32"/>
        <v>0.40243902439024393</v>
      </c>
      <c r="AF115" s="48"/>
      <c r="AG115" s="35"/>
      <c r="AH115" s="47"/>
      <c r="AI115" s="37">
        <v>3</v>
      </c>
      <c r="AJ115" s="54">
        <f t="shared" si="25"/>
        <v>0.17038327526132405</v>
      </c>
      <c r="AK115" s="54">
        <f t="shared" si="26"/>
        <v>0.10905923344947735</v>
      </c>
      <c r="AL115" s="35"/>
      <c r="AM115" s="35"/>
      <c r="AN115" s="48"/>
    </row>
    <row r="116" spans="2:40" s="1" customFormat="1" x14ac:dyDescent="0.25">
      <c r="B116" s="47"/>
      <c r="C116" s="37">
        <v>4</v>
      </c>
      <c r="D116" s="35">
        <v>5</v>
      </c>
      <c r="E116" s="35">
        <v>52</v>
      </c>
      <c r="F116" s="35">
        <v>2</v>
      </c>
      <c r="G116" s="35">
        <v>10</v>
      </c>
      <c r="H116" s="35">
        <v>0</v>
      </c>
      <c r="I116" s="35">
        <v>0</v>
      </c>
      <c r="J116" s="35">
        <v>1</v>
      </c>
      <c r="K116" s="35"/>
      <c r="L116" s="37">
        <v>4</v>
      </c>
      <c r="M116" s="35">
        <v>48</v>
      </c>
      <c r="N116" s="35">
        <v>44</v>
      </c>
      <c r="O116" s="35">
        <v>10</v>
      </c>
      <c r="P116" s="35">
        <v>0</v>
      </c>
      <c r="Q116" s="35">
        <v>1</v>
      </c>
      <c r="R116" s="35">
        <v>1</v>
      </c>
      <c r="S116" s="35">
        <v>0</v>
      </c>
      <c r="T116" s="48"/>
      <c r="U116" s="35"/>
      <c r="V116" s="47"/>
      <c r="W116" s="37">
        <v>4</v>
      </c>
      <c r="X116" s="49">
        <f t="shared" si="27"/>
        <v>7.1428571428571425E-2</v>
      </c>
      <c r="Y116" s="49">
        <f t="shared" si="28"/>
        <v>0.74285714285714288</v>
      </c>
      <c r="Z116" s="49">
        <f t="shared" si="29"/>
        <v>2.8571428571428571E-2</v>
      </c>
      <c r="AA116" s="35"/>
      <c r="AB116" s="37">
        <v>4</v>
      </c>
      <c r="AC116" s="49">
        <f t="shared" si="30"/>
        <v>0.46153846153846156</v>
      </c>
      <c r="AD116" s="49">
        <f t="shared" si="31"/>
        <v>0.42307692307692307</v>
      </c>
      <c r="AE116" s="49">
        <f t="shared" si="32"/>
        <v>9.6153846153846159E-2</v>
      </c>
      <c r="AF116" s="48"/>
      <c r="AG116" s="35"/>
      <c r="AH116" s="47"/>
      <c r="AI116" s="37">
        <v>4</v>
      </c>
      <c r="AJ116" s="54">
        <f t="shared" si="25"/>
        <v>0.39010989010989017</v>
      </c>
      <c r="AK116" s="54">
        <f t="shared" si="26"/>
        <v>0.31978021978021981</v>
      </c>
      <c r="AL116" s="35"/>
      <c r="AM116" s="35"/>
      <c r="AN116" s="48"/>
    </row>
    <row r="117" spans="2:40" s="1" customFormat="1" x14ac:dyDescent="0.25">
      <c r="B117" s="47"/>
      <c r="C117" s="37">
        <v>5</v>
      </c>
      <c r="D117" s="35">
        <v>17</v>
      </c>
      <c r="E117" s="35">
        <v>22</v>
      </c>
      <c r="F117" s="35">
        <v>15</v>
      </c>
      <c r="G117" s="35">
        <v>2</v>
      </c>
      <c r="H117" s="35">
        <v>0</v>
      </c>
      <c r="I117" s="35">
        <v>14</v>
      </c>
      <c r="J117" s="35">
        <v>0</v>
      </c>
      <c r="K117" s="35"/>
      <c r="L117" s="37">
        <v>5</v>
      </c>
      <c r="M117" s="35">
        <v>27</v>
      </c>
      <c r="N117" s="35">
        <v>17</v>
      </c>
      <c r="O117" s="35">
        <v>23</v>
      </c>
      <c r="P117" s="35">
        <v>0</v>
      </c>
      <c r="Q117" s="35">
        <v>8</v>
      </c>
      <c r="R117" s="35">
        <v>5</v>
      </c>
      <c r="S117" s="35">
        <v>2</v>
      </c>
      <c r="T117" s="48"/>
      <c r="U117" s="35"/>
      <c r="V117" s="47"/>
      <c r="W117" s="37">
        <v>5</v>
      </c>
      <c r="X117" s="49">
        <f t="shared" si="27"/>
        <v>0.24285714285714285</v>
      </c>
      <c r="Y117" s="49">
        <f t="shared" si="28"/>
        <v>0.31428571428571428</v>
      </c>
      <c r="Z117" s="49">
        <f t="shared" si="29"/>
        <v>0.21428571428571427</v>
      </c>
      <c r="AA117" s="35"/>
      <c r="AB117" s="37">
        <v>5</v>
      </c>
      <c r="AC117" s="49">
        <f t="shared" si="30"/>
        <v>0.32926829268292684</v>
      </c>
      <c r="AD117" s="49">
        <f t="shared" si="31"/>
        <v>0.2073170731707317</v>
      </c>
      <c r="AE117" s="49">
        <f t="shared" si="32"/>
        <v>0.28048780487804881</v>
      </c>
      <c r="AF117" s="48"/>
      <c r="AG117" s="35"/>
      <c r="AH117" s="47"/>
      <c r="AI117" s="37">
        <v>5</v>
      </c>
      <c r="AJ117" s="54">
        <f t="shared" si="25"/>
        <v>8.6411149825783989E-2</v>
      </c>
      <c r="AK117" s="54">
        <f t="shared" si="26"/>
        <v>0.10696864111498258</v>
      </c>
      <c r="AL117" s="35"/>
      <c r="AM117" s="35"/>
      <c r="AN117" s="48"/>
    </row>
    <row r="118" spans="2:40" s="1" customFormat="1" x14ac:dyDescent="0.25">
      <c r="B118" s="47"/>
      <c r="C118" s="37">
        <v>6</v>
      </c>
      <c r="D118" s="35">
        <v>31</v>
      </c>
      <c r="E118" s="35">
        <v>17</v>
      </c>
      <c r="F118" s="35">
        <v>6</v>
      </c>
      <c r="G118" s="35">
        <v>3</v>
      </c>
      <c r="H118" s="35">
        <v>0</v>
      </c>
      <c r="I118" s="35">
        <v>11</v>
      </c>
      <c r="J118" s="35">
        <v>2</v>
      </c>
      <c r="K118" s="35"/>
      <c r="L118" s="37">
        <v>6</v>
      </c>
      <c r="M118" s="35">
        <v>43</v>
      </c>
      <c r="N118" s="35">
        <v>10</v>
      </c>
      <c r="O118" s="35">
        <v>18</v>
      </c>
      <c r="P118" s="35">
        <v>2</v>
      </c>
      <c r="Q118" s="35">
        <v>1</v>
      </c>
      <c r="R118" s="35">
        <v>6</v>
      </c>
      <c r="S118" s="35">
        <v>2</v>
      </c>
      <c r="T118" s="48"/>
      <c r="U118" s="35"/>
      <c r="V118" s="47"/>
      <c r="W118" s="37">
        <v>6</v>
      </c>
      <c r="X118" s="49">
        <f t="shared" si="27"/>
        <v>0.44285714285714284</v>
      </c>
      <c r="Y118" s="49">
        <f t="shared" si="28"/>
        <v>0.24285714285714285</v>
      </c>
      <c r="Z118" s="49">
        <f t="shared" si="29"/>
        <v>8.5714285714285715E-2</v>
      </c>
      <c r="AA118" s="35"/>
      <c r="AB118" s="37">
        <v>6</v>
      </c>
      <c r="AC118" s="49">
        <f t="shared" si="30"/>
        <v>0.52439024390243905</v>
      </c>
      <c r="AD118" s="49">
        <f t="shared" si="31"/>
        <v>0.12195121951219512</v>
      </c>
      <c r="AE118" s="49">
        <f t="shared" si="32"/>
        <v>0.21951219512195122</v>
      </c>
      <c r="AF118" s="48"/>
      <c r="AG118" s="35"/>
      <c r="AH118" s="47"/>
      <c r="AI118" s="37">
        <v>6</v>
      </c>
      <c r="AJ118" s="54">
        <f t="shared" si="25"/>
        <v>8.1533101045296208E-2</v>
      </c>
      <c r="AK118" s="54">
        <f t="shared" si="26"/>
        <v>0.12090592334494774</v>
      </c>
      <c r="AL118" s="35"/>
      <c r="AM118" s="35"/>
      <c r="AN118" s="48"/>
    </row>
    <row r="119" spans="2:40" s="1" customFormat="1" x14ac:dyDescent="0.25">
      <c r="B119" s="47"/>
      <c r="C119" s="37">
        <v>7</v>
      </c>
      <c r="D119" s="35">
        <v>2</v>
      </c>
      <c r="E119" s="35">
        <v>65</v>
      </c>
      <c r="F119" s="35">
        <v>0</v>
      </c>
      <c r="G119" s="35">
        <v>3</v>
      </c>
      <c r="H119" s="35">
        <v>0</v>
      </c>
      <c r="I119" s="35">
        <v>0</v>
      </c>
      <c r="J119" s="35">
        <v>0</v>
      </c>
      <c r="K119" s="35"/>
      <c r="L119" s="37">
        <v>7</v>
      </c>
      <c r="M119" s="35">
        <v>47</v>
      </c>
      <c r="N119" s="35">
        <v>8</v>
      </c>
      <c r="O119" s="35">
        <v>6</v>
      </c>
      <c r="P119" s="35">
        <v>0</v>
      </c>
      <c r="Q119" s="35">
        <v>21</v>
      </c>
      <c r="R119" s="35">
        <v>0</v>
      </c>
      <c r="S119" s="35">
        <v>0</v>
      </c>
      <c r="T119" s="48"/>
      <c r="U119" s="35"/>
      <c r="V119" s="47"/>
      <c r="W119" s="37">
        <v>7</v>
      </c>
      <c r="X119" s="49">
        <f t="shared" si="27"/>
        <v>2.8571428571428571E-2</v>
      </c>
      <c r="Y119" s="49">
        <f t="shared" si="28"/>
        <v>0.9285714285714286</v>
      </c>
      <c r="Z119" s="49">
        <f t="shared" si="29"/>
        <v>0</v>
      </c>
      <c r="AA119" s="35"/>
      <c r="AB119" s="37">
        <v>7</v>
      </c>
      <c r="AC119" s="49">
        <f t="shared" si="30"/>
        <v>0.57317073170731703</v>
      </c>
      <c r="AD119" s="49">
        <f t="shared" si="31"/>
        <v>9.7560975609756101E-2</v>
      </c>
      <c r="AE119" s="49">
        <f t="shared" si="32"/>
        <v>7.3170731707317069E-2</v>
      </c>
      <c r="AF119" s="48"/>
      <c r="AG119" s="35"/>
      <c r="AH119" s="47"/>
      <c r="AI119" s="37">
        <v>7</v>
      </c>
      <c r="AJ119" s="54">
        <f t="shared" si="25"/>
        <v>0.54459930313588845</v>
      </c>
      <c r="AK119" s="54">
        <f t="shared" si="26"/>
        <v>0.83101045296167253</v>
      </c>
      <c r="AL119" s="35"/>
      <c r="AM119" s="35"/>
      <c r="AN119" s="48"/>
    </row>
    <row r="120" spans="2:40" s="1" customFormat="1" x14ac:dyDescent="0.25">
      <c r="B120" s="47"/>
      <c r="C120" s="37">
        <v>8</v>
      </c>
      <c r="D120" s="35">
        <v>6</v>
      </c>
      <c r="E120" s="35">
        <v>53</v>
      </c>
      <c r="F120" s="35">
        <v>6</v>
      </c>
      <c r="G120" s="35">
        <v>2</v>
      </c>
      <c r="H120" s="35">
        <v>0</v>
      </c>
      <c r="I120" s="35">
        <v>1</v>
      </c>
      <c r="J120" s="35">
        <v>2</v>
      </c>
      <c r="K120" s="35"/>
      <c r="L120" s="37">
        <v>8</v>
      </c>
      <c r="M120" s="35">
        <v>28</v>
      </c>
      <c r="N120" s="35">
        <v>25</v>
      </c>
      <c r="O120" s="35">
        <v>12</v>
      </c>
      <c r="P120" s="35">
        <v>2</v>
      </c>
      <c r="Q120" s="35">
        <v>14</v>
      </c>
      <c r="R120" s="35">
        <v>0</v>
      </c>
      <c r="S120" s="35">
        <v>1</v>
      </c>
      <c r="T120" s="48"/>
      <c r="U120" s="35"/>
      <c r="V120" s="47"/>
      <c r="W120" s="37">
        <v>8</v>
      </c>
      <c r="X120" s="49">
        <f t="shared" si="27"/>
        <v>8.5714285714285715E-2</v>
      </c>
      <c r="Y120" s="49">
        <f t="shared" si="28"/>
        <v>0.75714285714285712</v>
      </c>
      <c r="Z120" s="49">
        <f t="shared" si="29"/>
        <v>8.5714285714285715E-2</v>
      </c>
      <c r="AA120" s="35"/>
      <c r="AB120" s="37">
        <v>8</v>
      </c>
      <c r="AC120" s="49">
        <f t="shared" si="30"/>
        <v>0.34146341463414637</v>
      </c>
      <c r="AD120" s="49">
        <f t="shared" si="31"/>
        <v>0.3048780487804878</v>
      </c>
      <c r="AE120" s="49">
        <f t="shared" si="32"/>
        <v>0.14634146341463414</v>
      </c>
      <c r="AF120" s="48"/>
      <c r="AG120" s="35"/>
      <c r="AH120" s="47"/>
      <c r="AI120" s="37">
        <v>8</v>
      </c>
      <c r="AJ120" s="54">
        <f t="shared" si="25"/>
        <v>0.25574912891986068</v>
      </c>
      <c r="AK120" s="54">
        <f t="shared" si="26"/>
        <v>0.45226480836236932</v>
      </c>
      <c r="AL120" s="35"/>
      <c r="AM120" s="35"/>
      <c r="AN120" s="48"/>
    </row>
    <row r="121" spans="2:40" s="1" customFormat="1" x14ac:dyDescent="0.25">
      <c r="B121" s="47"/>
      <c r="C121" s="37">
        <v>9</v>
      </c>
      <c r="D121" s="35">
        <v>11</v>
      </c>
      <c r="E121" s="35">
        <v>17</v>
      </c>
      <c r="F121" s="35">
        <v>30</v>
      </c>
      <c r="G121" s="35">
        <v>1</v>
      </c>
      <c r="H121" s="35">
        <v>9</v>
      </c>
      <c r="I121" s="35">
        <v>2</v>
      </c>
      <c r="J121" s="35">
        <v>0</v>
      </c>
      <c r="K121" s="35"/>
      <c r="L121" s="37">
        <v>9</v>
      </c>
      <c r="M121" s="35">
        <v>12</v>
      </c>
      <c r="N121" s="35">
        <v>2</v>
      </c>
      <c r="O121" s="35">
        <v>45</v>
      </c>
      <c r="P121" s="35">
        <v>3</v>
      </c>
      <c r="Q121" s="35">
        <v>18</v>
      </c>
      <c r="R121" s="35">
        <v>0</v>
      </c>
      <c r="S121" s="35">
        <v>1</v>
      </c>
      <c r="T121" s="48"/>
      <c r="U121" s="35"/>
      <c r="V121" s="47"/>
      <c r="W121" s="37">
        <v>9</v>
      </c>
      <c r="X121" s="49">
        <f t="shared" si="27"/>
        <v>0.15714285714285714</v>
      </c>
      <c r="Y121" s="49">
        <f t="shared" si="28"/>
        <v>0.24285714285714285</v>
      </c>
      <c r="Z121" s="49">
        <f t="shared" si="29"/>
        <v>0.42857142857142855</v>
      </c>
      <c r="AA121" s="35"/>
      <c r="AB121" s="37">
        <v>9</v>
      </c>
      <c r="AC121" s="49">
        <f t="shared" si="30"/>
        <v>0.14814814814814814</v>
      </c>
      <c r="AD121" s="49">
        <f t="shared" si="31"/>
        <v>2.4691358024691357E-2</v>
      </c>
      <c r="AE121" s="49">
        <f t="shared" si="32"/>
        <v>0.55555555555555558</v>
      </c>
      <c r="AF121" s="48"/>
      <c r="AG121" s="35"/>
      <c r="AH121" s="47"/>
      <c r="AI121" s="37">
        <v>9</v>
      </c>
      <c r="AJ121" s="54">
        <f t="shared" si="25"/>
        <v>-8.9947089947089998E-3</v>
      </c>
      <c r="AK121" s="54">
        <f t="shared" si="26"/>
        <v>0.2181657848324515</v>
      </c>
      <c r="AL121" s="35"/>
      <c r="AM121" s="35"/>
      <c r="AN121" s="48"/>
    </row>
    <row r="122" spans="2:40" s="1" customFormat="1" x14ac:dyDescent="0.25">
      <c r="B122" s="47"/>
      <c r="C122" s="37">
        <v>10</v>
      </c>
      <c r="D122" s="35">
        <v>10</v>
      </c>
      <c r="E122" s="35">
        <v>33</v>
      </c>
      <c r="F122" s="35">
        <v>5</v>
      </c>
      <c r="G122" s="35">
        <v>22</v>
      </c>
      <c r="H122" s="35">
        <v>0</v>
      </c>
      <c r="I122" s="35">
        <v>0</v>
      </c>
      <c r="J122" s="35">
        <v>0</v>
      </c>
      <c r="K122" s="35"/>
      <c r="L122" s="37">
        <v>10</v>
      </c>
      <c r="M122" s="35">
        <v>57</v>
      </c>
      <c r="N122" s="35">
        <v>6</v>
      </c>
      <c r="O122" s="35">
        <v>11</v>
      </c>
      <c r="P122" s="35">
        <v>2</v>
      </c>
      <c r="Q122" s="35">
        <v>3</v>
      </c>
      <c r="R122" s="35">
        <v>3</v>
      </c>
      <c r="S122" s="35">
        <v>0</v>
      </c>
      <c r="T122" s="48"/>
      <c r="U122" s="35"/>
      <c r="V122" s="47"/>
      <c r="W122" s="37">
        <v>10</v>
      </c>
      <c r="X122" s="49">
        <f t="shared" si="27"/>
        <v>0.14285714285714285</v>
      </c>
      <c r="Y122" s="49">
        <f t="shared" si="28"/>
        <v>0.47142857142857142</v>
      </c>
      <c r="Z122" s="49">
        <f t="shared" si="29"/>
        <v>7.1428571428571425E-2</v>
      </c>
      <c r="AA122" s="35"/>
      <c r="AB122" s="37">
        <v>10</v>
      </c>
      <c r="AC122" s="49">
        <f t="shared" si="30"/>
        <v>0.69512195121951215</v>
      </c>
      <c r="AD122" s="49">
        <f t="shared" si="31"/>
        <v>7.3170731707317069E-2</v>
      </c>
      <c r="AE122" s="49">
        <f t="shared" si="32"/>
        <v>0.13414634146341464</v>
      </c>
      <c r="AF122" s="48"/>
      <c r="AG122" s="35"/>
      <c r="AH122" s="47"/>
      <c r="AI122" s="37">
        <v>10</v>
      </c>
      <c r="AJ122" s="54">
        <f t="shared" si="25"/>
        <v>0.55226480836236935</v>
      </c>
      <c r="AK122" s="54">
        <f t="shared" si="26"/>
        <v>0.39825783972125434</v>
      </c>
      <c r="AL122" s="35"/>
      <c r="AM122" s="35"/>
      <c r="AN122" s="48"/>
    </row>
    <row r="123" spans="2:40" s="1" customFormat="1" x14ac:dyDescent="0.25">
      <c r="B123" s="47"/>
      <c r="C123" s="37">
        <v>11</v>
      </c>
      <c r="D123" s="35">
        <v>13</v>
      </c>
      <c r="E123" s="35">
        <v>35</v>
      </c>
      <c r="F123" s="35">
        <v>8</v>
      </c>
      <c r="G123" s="35">
        <v>4</v>
      </c>
      <c r="H123" s="35">
        <v>2</v>
      </c>
      <c r="I123" s="35">
        <v>7</v>
      </c>
      <c r="J123" s="35">
        <v>1</v>
      </c>
      <c r="K123" s="35"/>
      <c r="L123" s="37">
        <v>11</v>
      </c>
      <c r="M123" s="35">
        <v>25</v>
      </c>
      <c r="N123" s="35">
        <v>25</v>
      </c>
      <c r="O123" s="35">
        <v>18</v>
      </c>
      <c r="P123" s="35">
        <v>5</v>
      </c>
      <c r="Q123" s="35">
        <v>4</v>
      </c>
      <c r="R123" s="35">
        <v>5</v>
      </c>
      <c r="S123" s="35">
        <v>0</v>
      </c>
      <c r="T123" s="48"/>
      <c r="U123" s="35"/>
      <c r="V123" s="47"/>
      <c r="W123" s="37">
        <v>11</v>
      </c>
      <c r="X123" s="49">
        <f t="shared" si="27"/>
        <v>0.18571428571428572</v>
      </c>
      <c r="Y123" s="49">
        <f t="shared" si="28"/>
        <v>0.5</v>
      </c>
      <c r="Z123" s="49">
        <f t="shared" si="29"/>
        <v>0.11428571428571428</v>
      </c>
      <c r="AA123" s="35"/>
      <c r="AB123" s="37">
        <v>11</v>
      </c>
      <c r="AC123" s="49">
        <f t="shared" si="30"/>
        <v>0.3048780487804878</v>
      </c>
      <c r="AD123" s="49">
        <f t="shared" si="31"/>
        <v>0.3048780487804878</v>
      </c>
      <c r="AE123" s="49">
        <f t="shared" si="32"/>
        <v>0.21951219512195122</v>
      </c>
      <c r="AF123" s="48"/>
      <c r="AG123" s="35"/>
      <c r="AH123" s="47"/>
      <c r="AI123" s="37">
        <v>11</v>
      </c>
      <c r="AJ123" s="54">
        <f t="shared" si="25"/>
        <v>0.11916376306620208</v>
      </c>
      <c r="AK123" s="54">
        <f t="shared" si="26"/>
        <v>0.1951219512195122</v>
      </c>
      <c r="AL123" s="35"/>
      <c r="AM123" s="35"/>
      <c r="AN123" s="48"/>
    </row>
    <row r="124" spans="2:40" s="1" customFormat="1" x14ac:dyDescent="0.25">
      <c r="B124" s="47"/>
      <c r="C124" s="37">
        <v>12</v>
      </c>
      <c r="D124" s="35">
        <v>21</v>
      </c>
      <c r="E124" s="35">
        <v>26</v>
      </c>
      <c r="F124" s="35">
        <v>0</v>
      </c>
      <c r="G124" s="35">
        <v>22</v>
      </c>
      <c r="H124" s="35">
        <v>0</v>
      </c>
      <c r="I124" s="35">
        <v>1</v>
      </c>
      <c r="J124" s="35">
        <v>0</v>
      </c>
      <c r="K124" s="35"/>
      <c r="L124" s="37">
        <v>12</v>
      </c>
      <c r="M124" s="35">
        <v>66</v>
      </c>
      <c r="N124" s="35">
        <v>5</v>
      </c>
      <c r="O124" s="35">
        <v>3</v>
      </c>
      <c r="P124" s="35">
        <v>1</v>
      </c>
      <c r="Q124" s="35">
        <v>5</v>
      </c>
      <c r="R124" s="35">
        <v>1</v>
      </c>
      <c r="S124" s="35">
        <v>1</v>
      </c>
      <c r="T124" s="48"/>
      <c r="U124" s="35"/>
      <c r="V124" s="47"/>
      <c r="W124" s="37">
        <v>12</v>
      </c>
      <c r="X124" s="49">
        <f t="shared" si="27"/>
        <v>0.3</v>
      </c>
      <c r="Y124" s="49">
        <f t="shared" si="28"/>
        <v>0.37142857142857144</v>
      </c>
      <c r="Z124" s="49">
        <f t="shared" si="29"/>
        <v>0</v>
      </c>
      <c r="AA124" s="35"/>
      <c r="AB124" s="37">
        <v>12</v>
      </c>
      <c r="AC124" s="49">
        <f t="shared" si="30"/>
        <v>0.80487804878048785</v>
      </c>
      <c r="AD124" s="49">
        <f t="shared" si="31"/>
        <v>6.097560975609756E-2</v>
      </c>
      <c r="AE124" s="49">
        <f t="shared" si="32"/>
        <v>3.6585365853658534E-2</v>
      </c>
      <c r="AF124" s="48"/>
      <c r="AG124" s="35"/>
      <c r="AH124" s="47"/>
      <c r="AI124" s="37">
        <v>12</v>
      </c>
      <c r="AJ124" s="54">
        <f t="shared" si="25"/>
        <v>0.50487804878048781</v>
      </c>
      <c r="AK124" s="54">
        <f t="shared" si="26"/>
        <v>0.31045296167247388</v>
      </c>
      <c r="AL124" s="35"/>
      <c r="AM124" s="35"/>
      <c r="AN124" s="48"/>
    </row>
    <row r="125" spans="2:40" s="1" customFormat="1" x14ac:dyDescent="0.25">
      <c r="B125" s="47"/>
      <c r="C125" s="37">
        <v>13</v>
      </c>
      <c r="D125" s="35">
        <v>7</v>
      </c>
      <c r="E125" s="35">
        <v>20</v>
      </c>
      <c r="F125" s="35">
        <v>14</v>
      </c>
      <c r="G125" s="35">
        <v>29</v>
      </c>
      <c r="H125" s="35">
        <v>0</v>
      </c>
      <c r="I125" s="35">
        <v>0</v>
      </c>
      <c r="J125" s="35">
        <v>0</v>
      </c>
      <c r="K125" s="35"/>
      <c r="L125" s="37">
        <v>13</v>
      </c>
      <c r="M125" s="35">
        <v>74</v>
      </c>
      <c r="N125" s="35">
        <v>3</v>
      </c>
      <c r="O125" s="35">
        <v>2</v>
      </c>
      <c r="P125" s="35">
        <v>0</v>
      </c>
      <c r="Q125" s="35">
        <v>0</v>
      </c>
      <c r="R125" s="35">
        <v>2</v>
      </c>
      <c r="S125" s="35">
        <v>1</v>
      </c>
      <c r="T125" s="48"/>
      <c r="U125" s="35"/>
      <c r="V125" s="47"/>
      <c r="W125" s="37">
        <v>13</v>
      </c>
      <c r="X125" s="49">
        <f t="shared" si="27"/>
        <v>0.1</v>
      </c>
      <c r="Y125" s="49">
        <f t="shared" si="28"/>
        <v>0.2857142857142857</v>
      </c>
      <c r="Z125" s="49">
        <f t="shared" si="29"/>
        <v>0.2</v>
      </c>
      <c r="AA125" s="35"/>
      <c r="AB125" s="37">
        <v>13</v>
      </c>
      <c r="AC125" s="49">
        <f t="shared" si="30"/>
        <v>0.90243902439024393</v>
      </c>
      <c r="AD125" s="49">
        <f t="shared" si="31"/>
        <v>3.6585365853658534E-2</v>
      </c>
      <c r="AE125" s="49">
        <f t="shared" si="32"/>
        <v>2.4390243902439025E-2</v>
      </c>
      <c r="AF125" s="48"/>
      <c r="AG125" s="35"/>
      <c r="AH125" s="47"/>
      <c r="AI125" s="37">
        <v>13</v>
      </c>
      <c r="AJ125" s="54">
        <f t="shared" si="25"/>
        <v>0.80243902439024395</v>
      </c>
      <c r="AK125" s="54">
        <f t="shared" si="26"/>
        <v>0.24912891986062716</v>
      </c>
      <c r="AL125" s="35"/>
      <c r="AM125" s="35"/>
      <c r="AN125" s="48"/>
    </row>
    <row r="126" spans="2:40" s="1" customFormat="1" x14ac:dyDescent="0.25">
      <c r="B126" s="47"/>
      <c r="C126" s="37">
        <v>14</v>
      </c>
      <c r="D126" s="35">
        <v>26</v>
      </c>
      <c r="E126" s="35">
        <v>16</v>
      </c>
      <c r="F126" s="35">
        <v>7</v>
      </c>
      <c r="G126" s="35">
        <v>12</v>
      </c>
      <c r="H126" s="35">
        <v>0</v>
      </c>
      <c r="I126" s="35">
        <v>3</v>
      </c>
      <c r="J126" s="35">
        <v>6</v>
      </c>
      <c r="K126" s="35"/>
      <c r="L126" s="37">
        <v>14</v>
      </c>
      <c r="M126" s="35">
        <v>40</v>
      </c>
      <c r="N126" s="35">
        <v>12</v>
      </c>
      <c r="O126" s="35">
        <v>16</v>
      </c>
      <c r="P126" s="35">
        <v>3</v>
      </c>
      <c r="Q126" s="35">
        <v>2</v>
      </c>
      <c r="R126" s="35">
        <v>2</v>
      </c>
      <c r="S126" s="35">
        <v>6</v>
      </c>
      <c r="T126" s="48"/>
      <c r="U126" s="35"/>
      <c r="V126" s="47"/>
      <c r="W126" s="37">
        <v>14</v>
      </c>
      <c r="X126" s="49">
        <f t="shared" si="27"/>
        <v>0.37142857142857144</v>
      </c>
      <c r="Y126" s="49">
        <f t="shared" si="28"/>
        <v>0.22857142857142856</v>
      </c>
      <c r="Z126" s="49">
        <f t="shared" si="29"/>
        <v>0.1</v>
      </c>
      <c r="AA126" s="35"/>
      <c r="AB126" s="37">
        <v>14</v>
      </c>
      <c r="AC126" s="49">
        <f t="shared" si="30"/>
        <v>0.49382716049382713</v>
      </c>
      <c r="AD126" s="49">
        <f t="shared" si="31"/>
        <v>0.14814814814814814</v>
      </c>
      <c r="AE126" s="49">
        <f t="shared" si="32"/>
        <v>0.19753086419753085</v>
      </c>
      <c r="AF126" s="48"/>
      <c r="AG126" s="35"/>
      <c r="AH126" s="47"/>
      <c r="AI126" s="37">
        <v>14</v>
      </c>
      <c r="AJ126" s="54">
        <f t="shared" si="25"/>
        <v>0.12239858906525569</v>
      </c>
      <c r="AK126" s="54">
        <f t="shared" si="26"/>
        <v>8.0423280423280424E-2</v>
      </c>
      <c r="AL126" s="35"/>
      <c r="AM126" s="35"/>
      <c r="AN126" s="48"/>
    </row>
    <row r="127" spans="2:40" s="1" customFormat="1" x14ac:dyDescent="0.25">
      <c r="B127" s="47"/>
      <c r="C127" s="37">
        <v>15</v>
      </c>
      <c r="D127" s="35">
        <v>11</v>
      </c>
      <c r="E127" s="35">
        <v>42</v>
      </c>
      <c r="F127" s="35">
        <v>6</v>
      </c>
      <c r="G127" s="35">
        <v>4</v>
      </c>
      <c r="H127" s="35">
        <v>2</v>
      </c>
      <c r="I127" s="35">
        <v>5</v>
      </c>
      <c r="J127" s="35">
        <v>0</v>
      </c>
      <c r="K127" s="35"/>
      <c r="L127" s="37">
        <v>15</v>
      </c>
      <c r="M127" s="35">
        <v>34</v>
      </c>
      <c r="N127" s="35">
        <v>28</v>
      </c>
      <c r="O127" s="35">
        <v>5</v>
      </c>
      <c r="P127" s="35">
        <v>1</v>
      </c>
      <c r="Q127" s="35">
        <v>10</v>
      </c>
      <c r="R127" s="35">
        <v>4</v>
      </c>
      <c r="S127" s="35">
        <v>0</v>
      </c>
      <c r="T127" s="48"/>
      <c r="U127" s="35"/>
      <c r="V127" s="47"/>
      <c r="W127" s="37">
        <v>15</v>
      </c>
      <c r="X127" s="49">
        <f t="shared" si="27"/>
        <v>0.15714285714285714</v>
      </c>
      <c r="Y127" s="49">
        <f t="shared" si="28"/>
        <v>0.6</v>
      </c>
      <c r="Z127" s="49">
        <f t="shared" si="29"/>
        <v>8.5714285714285715E-2</v>
      </c>
      <c r="AA127" s="35"/>
      <c r="AB127" s="37">
        <v>15</v>
      </c>
      <c r="AC127" s="49">
        <f t="shared" si="30"/>
        <v>0.41463414634146339</v>
      </c>
      <c r="AD127" s="49">
        <f t="shared" si="31"/>
        <v>0.34146341463414637</v>
      </c>
      <c r="AE127" s="49">
        <f t="shared" si="32"/>
        <v>6.097560975609756E-2</v>
      </c>
      <c r="AF127" s="48"/>
      <c r="AG127" s="35"/>
      <c r="AH127" s="47"/>
      <c r="AI127" s="37">
        <v>15</v>
      </c>
      <c r="AJ127" s="54">
        <f t="shared" si="25"/>
        <v>0.25749128919860625</v>
      </c>
      <c r="AK127" s="54">
        <f t="shared" si="26"/>
        <v>0.25853658536585361</v>
      </c>
      <c r="AL127" s="35"/>
      <c r="AM127" s="35"/>
      <c r="AN127" s="48"/>
    </row>
    <row r="128" spans="2:40" s="1" customFormat="1" x14ac:dyDescent="0.25">
      <c r="B128" s="47"/>
      <c r="C128" s="37">
        <v>16</v>
      </c>
      <c r="D128" s="35">
        <v>33</v>
      </c>
      <c r="E128" s="35">
        <v>13</v>
      </c>
      <c r="F128" s="35">
        <v>5</v>
      </c>
      <c r="G128" s="35">
        <v>6</v>
      </c>
      <c r="H128" s="35">
        <v>1</v>
      </c>
      <c r="I128" s="35">
        <v>12</v>
      </c>
      <c r="J128" s="35">
        <v>0</v>
      </c>
      <c r="K128" s="35"/>
      <c r="L128" s="37">
        <v>16</v>
      </c>
      <c r="M128" s="35">
        <v>53</v>
      </c>
      <c r="N128" s="35">
        <v>8</v>
      </c>
      <c r="O128" s="35">
        <v>3</v>
      </c>
      <c r="P128" s="35">
        <v>0</v>
      </c>
      <c r="Q128" s="35">
        <v>15</v>
      </c>
      <c r="R128" s="35">
        <v>2</v>
      </c>
      <c r="S128" s="35">
        <v>1</v>
      </c>
      <c r="T128" s="48"/>
      <c r="U128" s="35"/>
      <c r="V128" s="47"/>
      <c r="W128" s="37">
        <v>16</v>
      </c>
      <c r="X128" s="49">
        <f t="shared" si="27"/>
        <v>0.47142857142857142</v>
      </c>
      <c r="Y128" s="49">
        <f t="shared" si="28"/>
        <v>0.18571428571428572</v>
      </c>
      <c r="Z128" s="49">
        <f t="shared" si="29"/>
        <v>7.1428571428571425E-2</v>
      </c>
      <c r="AA128" s="35"/>
      <c r="AB128" s="37">
        <v>16</v>
      </c>
      <c r="AC128" s="49">
        <f t="shared" si="30"/>
        <v>0.64634146341463417</v>
      </c>
      <c r="AD128" s="49">
        <f t="shared" si="31"/>
        <v>9.7560975609756101E-2</v>
      </c>
      <c r="AE128" s="49">
        <f t="shared" si="32"/>
        <v>3.6585365853658534E-2</v>
      </c>
      <c r="AF128" s="48"/>
      <c r="AG128" s="35"/>
      <c r="AH128" s="47"/>
      <c r="AI128" s="37">
        <v>16</v>
      </c>
      <c r="AJ128" s="54">
        <f t="shared" si="25"/>
        <v>0.17491289198606275</v>
      </c>
      <c r="AK128" s="54">
        <f t="shared" si="26"/>
        <v>8.815331010452962E-2</v>
      </c>
      <c r="AL128" s="35"/>
      <c r="AM128" s="35"/>
      <c r="AN128" s="48"/>
    </row>
    <row r="129" spans="2:40" s="1" customFormat="1" x14ac:dyDescent="0.25">
      <c r="B129" s="47"/>
      <c r="C129" s="37">
        <v>17</v>
      </c>
      <c r="D129" s="35">
        <v>11</v>
      </c>
      <c r="E129" s="35">
        <v>15</v>
      </c>
      <c r="F129" s="35">
        <v>26</v>
      </c>
      <c r="G129" s="35">
        <v>3</v>
      </c>
      <c r="H129" s="35">
        <v>3</v>
      </c>
      <c r="I129" s="35">
        <v>12</v>
      </c>
      <c r="J129" s="35">
        <v>0</v>
      </c>
      <c r="K129" s="35"/>
      <c r="L129" s="37">
        <v>17</v>
      </c>
      <c r="M129" s="35">
        <v>50</v>
      </c>
      <c r="N129" s="35">
        <v>7</v>
      </c>
      <c r="O129" s="35">
        <v>5</v>
      </c>
      <c r="P129" s="35">
        <v>1</v>
      </c>
      <c r="Q129" s="35">
        <v>13</v>
      </c>
      <c r="R129" s="35">
        <v>4</v>
      </c>
      <c r="S129" s="35">
        <v>2</v>
      </c>
      <c r="T129" s="48"/>
      <c r="U129" s="35"/>
      <c r="V129" s="47"/>
      <c r="W129" s="37">
        <v>17</v>
      </c>
      <c r="X129" s="49">
        <f t="shared" si="27"/>
        <v>0.15714285714285714</v>
      </c>
      <c r="Y129" s="49">
        <f t="shared" si="28"/>
        <v>0.21428571428571427</v>
      </c>
      <c r="Z129" s="49">
        <f t="shared" si="29"/>
        <v>0.37142857142857144</v>
      </c>
      <c r="AA129" s="35"/>
      <c r="AB129" s="37">
        <v>17</v>
      </c>
      <c r="AC129" s="49">
        <f t="shared" si="30"/>
        <v>0.6097560975609756</v>
      </c>
      <c r="AD129" s="49">
        <f t="shared" si="31"/>
        <v>8.5365853658536592E-2</v>
      </c>
      <c r="AE129" s="49">
        <f t="shared" si="32"/>
        <v>6.097560975609756E-2</v>
      </c>
      <c r="AF129" s="48"/>
      <c r="AG129" s="35"/>
      <c r="AH129" s="47"/>
      <c r="AI129" s="37">
        <v>17</v>
      </c>
      <c r="AJ129" s="54">
        <f t="shared" si="25"/>
        <v>0.45261324041811846</v>
      </c>
      <c r="AK129" s="54">
        <f t="shared" si="26"/>
        <v>0.1289198606271777</v>
      </c>
      <c r="AL129" s="35"/>
      <c r="AM129" s="35"/>
      <c r="AN129" s="48"/>
    </row>
    <row r="130" spans="2:40" s="1" customFormat="1" x14ac:dyDescent="0.25">
      <c r="B130" s="47"/>
      <c r="C130" s="37">
        <v>18</v>
      </c>
      <c r="D130" s="35">
        <v>7</v>
      </c>
      <c r="E130" s="35">
        <v>34</v>
      </c>
      <c r="F130" s="35">
        <v>3</v>
      </c>
      <c r="G130" s="35">
        <v>26</v>
      </c>
      <c r="H130" s="35">
        <v>0</v>
      </c>
      <c r="I130" s="35">
        <v>0</v>
      </c>
      <c r="J130" s="35">
        <v>0</v>
      </c>
      <c r="K130" s="35"/>
      <c r="L130" s="37">
        <v>18</v>
      </c>
      <c r="M130" s="35">
        <v>39</v>
      </c>
      <c r="N130" s="35">
        <v>30</v>
      </c>
      <c r="O130" s="35">
        <v>3</v>
      </c>
      <c r="P130" s="35">
        <v>9</v>
      </c>
      <c r="Q130" s="35">
        <v>0</v>
      </c>
      <c r="R130" s="35">
        <v>1</v>
      </c>
      <c r="S130" s="35">
        <v>0</v>
      </c>
      <c r="T130" s="48"/>
      <c r="U130" s="35"/>
      <c r="V130" s="47"/>
      <c r="W130" s="37">
        <v>18</v>
      </c>
      <c r="X130" s="49">
        <f t="shared" si="27"/>
        <v>0.1</v>
      </c>
      <c r="Y130" s="49">
        <f t="shared" si="28"/>
        <v>0.48571428571428571</v>
      </c>
      <c r="Z130" s="49">
        <f t="shared" si="29"/>
        <v>4.2857142857142858E-2</v>
      </c>
      <c r="AA130" s="35"/>
      <c r="AB130" s="37">
        <v>18</v>
      </c>
      <c r="AC130" s="49">
        <f t="shared" si="30"/>
        <v>0.47560975609756095</v>
      </c>
      <c r="AD130" s="49">
        <f t="shared" si="31"/>
        <v>0.36585365853658536</v>
      </c>
      <c r="AE130" s="49">
        <f t="shared" si="32"/>
        <v>3.6585365853658534E-2</v>
      </c>
      <c r="AF130" s="48"/>
      <c r="AG130" s="35"/>
      <c r="AH130" s="47"/>
      <c r="AI130" s="37">
        <v>18</v>
      </c>
      <c r="AJ130" s="54">
        <f t="shared" si="25"/>
        <v>0.37560975609756098</v>
      </c>
      <c r="AK130" s="54">
        <f t="shared" si="26"/>
        <v>0.11986062717770035</v>
      </c>
      <c r="AL130" s="35"/>
      <c r="AM130" s="35"/>
      <c r="AN130" s="48"/>
    </row>
    <row r="131" spans="2:40" s="1" customFormat="1" x14ac:dyDescent="0.25">
      <c r="B131" s="47"/>
      <c r="C131" s="37">
        <v>19</v>
      </c>
      <c r="D131" s="35">
        <v>13</v>
      </c>
      <c r="E131" s="35">
        <v>27</v>
      </c>
      <c r="F131" s="35">
        <v>8</v>
      </c>
      <c r="G131" s="35">
        <v>14</v>
      </c>
      <c r="H131" s="35">
        <v>1</v>
      </c>
      <c r="I131" s="35">
        <v>6</v>
      </c>
      <c r="J131" s="35">
        <v>1</v>
      </c>
      <c r="K131" s="35"/>
      <c r="L131" s="37">
        <v>19</v>
      </c>
      <c r="M131" s="35">
        <v>58</v>
      </c>
      <c r="N131" s="35">
        <v>8</v>
      </c>
      <c r="O131" s="35">
        <v>2</v>
      </c>
      <c r="P131" s="35">
        <v>1</v>
      </c>
      <c r="Q131" s="35">
        <v>5</v>
      </c>
      <c r="R131" s="35">
        <v>8</v>
      </c>
      <c r="S131" s="35">
        <v>0</v>
      </c>
      <c r="T131" s="48"/>
      <c r="U131" s="35"/>
      <c r="V131" s="47"/>
      <c r="W131" s="37">
        <v>19</v>
      </c>
      <c r="X131" s="49">
        <f t="shared" si="27"/>
        <v>0.18571428571428572</v>
      </c>
      <c r="Y131" s="49">
        <f t="shared" si="28"/>
        <v>0.38571428571428573</v>
      </c>
      <c r="Z131" s="49">
        <f t="shared" si="29"/>
        <v>0.11428571428571428</v>
      </c>
      <c r="AA131" s="35"/>
      <c r="AB131" s="37">
        <v>19</v>
      </c>
      <c r="AC131" s="49">
        <f t="shared" si="30"/>
        <v>0.70731707317073167</v>
      </c>
      <c r="AD131" s="49">
        <f t="shared" si="31"/>
        <v>9.7560975609756101E-2</v>
      </c>
      <c r="AE131" s="49">
        <f t="shared" si="32"/>
        <v>2.4390243902439025E-2</v>
      </c>
      <c r="AF131" s="48"/>
      <c r="AG131" s="35"/>
      <c r="AH131" s="47"/>
      <c r="AI131" s="37">
        <v>19</v>
      </c>
      <c r="AJ131" s="54">
        <f t="shared" si="25"/>
        <v>0.52160278745644595</v>
      </c>
      <c r="AK131" s="54">
        <f t="shared" si="26"/>
        <v>0.2881533101045296</v>
      </c>
      <c r="AL131" s="35"/>
      <c r="AM131" s="35"/>
      <c r="AN131" s="48"/>
    </row>
    <row r="132" spans="2:40" s="1" customFormat="1" x14ac:dyDescent="0.25">
      <c r="B132" s="47"/>
      <c r="C132" s="37">
        <v>20</v>
      </c>
      <c r="D132" s="35">
        <v>35</v>
      </c>
      <c r="E132" s="35">
        <v>11</v>
      </c>
      <c r="F132" s="35">
        <v>8</v>
      </c>
      <c r="G132" s="35">
        <v>3</v>
      </c>
      <c r="H132" s="35">
        <v>1</v>
      </c>
      <c r="I132" s="35">
        <v>5</v>
      </c>
      <c r="J132" s="35">
        <v>7</v>
      </c>
      <c r="K132" s="35"/>
      <c r="L132" s="37">
        <v>20</v>
      </c>
      <c r="M132" s="35">
        <v>54</v>
      </c>
      <c r="N132" s="35">
        <v>7</v>
      </c>
      <c r="O132" s="35">
        <v>7</v>
      </c>
      <c r="P132" s="35">
        <v>2</v>
      </c>
      <c r="Q132" s="35">
        <v>0</v>
      </c>
      <c r="R132" s="35">
        <v>9</v>
      </c>
      <c r="S132" s="35">
        <v>3</v>
      </c>
      <c r="T132" s="48"/>
      <c r="U132" s="35"/>
      <c r="V132" s="47"/>
      <c r="W132" s="37">
        <v>20</v>
      </c>
      <c r="X132" s="49">
        <f t="shared" si="27"/>
        <v>0.5</v>
      </c>
      <c r="Y132" s="49">
        <f t="shared" si="28"/>
        <v>0.15714285714285714</v>
      </c>
      <c r="Z132" s="49">
        <f t="shared" si="29"/>
        <v>0.11428571428571428</v>
      </c>
      <c r="AA132" s="35"/>
      <c r="AB132" s="37">
        <v>20</v>
      </c>
      <c r="AC132" s="49">
        <f t="shared" si="30"/>
        <v>0.65853658536585369</v>
      </c>
      <c r="AD132" s="49">
        <f t="shared" si="31"/>
        <v>8.5365853658536592E-2</v>
      </c>
      <c r="AE132" s="49">
        <f t="shared" si="32"/>
        <v>8.5365853658536592E-2</v>
      </c>
      <c r="AF132" s="48"/>
      <c r="AG132" s="35"/>
      <c r="AH132" s="47"/>
      <c r="AI132" s="37">
        <v>20</v>
      </c>
      <c r="AJ132" s="54">
        <f t="shared" si="25"/>
        <v>0.15853658536585369</v>
      </c>
      <c r="AK132" s="54">
        <f t="shared" si="26"/>
        <v>7.1777003484320548E-2</v>
      </c>
      <c r="AL132" s="35"/>
      <c r="AM132" s="35"/>
      <c r="AN132" s="48"/>
    </row>
    <row r="133" spans="2:40" s="1" customFormat="1" ht="15.75" thickBot="1" x14ac:dyDescent="0.3">
      <c r="B133" s="50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51"/>
      <c r="U133" s="35"/>
      <c r="V133" s="50"/>
      <c r="W133" s="43"/>
      <c r="X133" s="43"/>
      <c r="Y133" s="43"/>
      <c r="Z133" s="43"/>
      <c r="AA133" s="43"/>
      <c r="AB133" s="43"/>
      <c r="AC133" s="43"/>
      <c r="AD133" s="43"/>
      <c r="AE133" s="43"/>
      <c r="AF133" s="51"/>
      <c r="AG133" s="35"/>
      <c r="AH133" s="50"/>
      <c r="AI133" s="43"/>
      <c r="AJ133" s="43"/>
      <c r="AK133" s="43"/>
      <c r="AL133" s="43"/>
      <c r="AM133" s="43"/>
      <c r="AN133" s="51"/>
    </row>
    <row r="134" spans="2:40" s="1" customFormat="1" ht="15.75" thickTop="1" x14ac:dyDescent="0.25"/>
    <row r="135" spans="2:40" s="1" customFormat="1" x14ac:dyDescent="0.25"/>
    <row r="136" spans="2:40" s="1" customFormat="1" x14ac:dyDescent="0.25"/>
    <row r="137" spans="2:40" s="1" customFormat="1" ht="18.75" x14ac:dyDescent="0.3">
      <c r="B137" s="33"/>
      <c r="C137" s="33"/>
      <c r="D137" s="33"/>
      <c r="E137" s="33"/>
      <c r="F137" s="33"/>
      <c r="G137" s="33"/>
      <c r="H137" s="33"/>
      <c r="I137" s="33"/>
      <c r="J137" s="34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</row>
    <row r="138" spans="2:40" s="1" customFormat="1" ht="18.75" x14ac:dyDescent="0.3">
      <c r="B138" s="33"/>
      <c r="C138" s="34" t="s">
        <v>139</v>
      </c>
      <c r="D138" s="34"/>
      <c r="E138" s="34"/>
      <c r="F138" s="34"/>
      <c r="G138" s="34"/>
      <c r="H138" s="34"/>
      <c r="I138" s="34"/>
      <c r="J138" s="34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</row>
    <row r="139" spans="2:40" s="1" customFormat="1" ht="19.5" thickBot="1" x14ac:dyDescent="0.35">
      <c r="B139" s="33"/>
      <c r="C139" s="33"/>
      <c r="D139" s="34"/>
      <c r="E139" s="34"/>
      <c r="F139" s="34"/>
      <c r="G139" s="34"/>
      <c r="H139" s="34"/>
      <c r="I139" s="34"/>
      <c r="J139" s="34"/>
      <c r="K139" s="34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</row>
    <row r="140" spans="2:40" s="1" customFormat="1" ht="15.75" thickTop="1" x14ac:dyDescent="0.25">
      <c r="B140" s="44"/>
      <c r="C140" s="45"/>
      <c r="D140" s="45"/>
      <c r="E140" s="45"/>
      <c r="F140" s="45"/>
      <c r="G140" s="45"/>
      <c r="H140" s="45"/>
      <c r="I140" s="45"/>
      <c r="J140" s="45"/>
      <c r="K140" s="45"/>
      <c r="L140" s="46"/>
      <c r="N140" s="44"/>
      <c r="O140" s="45"/>
      <c r="P140" s="45"/>
      <c r="Q140" s="45"/>
      <c r="R140" s="45"/>
      <c r="S140" s="45"/>
      <c r="T140" s="45"/>
      <c r="U140" s="45"/>
      <c r="V140" s="45"/>
      <c r="W140" s="45"/>
      <c r="X140" s="46"/>
      <c r="Z140" s="44"/>
      <c r="AA140" s="45"/>
      <c r="AB140" s="45"/>
      <c r="AC140" s="45"/>
      <c r="AD140" s="45"/>
      <c r="AE140" s="45"/>
      <c r="AF140" s="46"/>
    </row>
    <row r="141" spans="2:40" s="1" customFormat="1" ht="18.75" x14ac:dyDescent="0.3">
      <c r="B141" s="47"/>
      <c r="C141" s="67" t="s">
        <v>104</v>
      </c>
      <c r="D141" s="67"/>
      <c r="E141" s="67"/>
      <c r="F141" s="67"/>
      <c r="G141" s="62"/>
      <c r="H141" s="62"/>
      <c r="I141" s="35"/>
      <c r="J141" s="35"/>
      <c r="K141" s="35"/>
      <c r="L141" s="48"/>
      <c r="N141" s="47"/>
      <c r="O141" s="67" t="s">
        <v>102</v>
      </c>
      <c r="P141" s="67"/>
      <c r="Q141" s="67"/>
      <c r="R141" s="40"/>
      <c r="S141" s="35"/>
      <c r="T141" s="35"/>
      <c r="U141" s="35"/>
      <c r="V141" s="35"/>
      <c r="W141" s="35"/>
      <c r="X141" s="48"/>
      <c r="Z141" s="47"/>
      <c r="AA141" s="67" t="s">
        <v>103</v>
      </c>
      <c r="AB141" s="62"/>
      <c r="AC141" s="62"/>
      <c r="AD141" s="62"/>
      <c r="AE141" s="62"/>
      <c r="AF141" s="48"/>
    </row>
    <row r="142" spans="2:40" s="1" customFormat="1" x14ac:dyDescent="0.25">
      <c r="B142" s="47"/>
      <c r="C142" s="35"/>
      <c r="D142" s="35"/>
      <c r="E142" s="35"/>
      <c r="F142" s="35"/>
      <c r="G142" s="35"/>
      <c r="H142" s="35"/>
      <c r="I142" s="35"/>
      <c r="J142" s="35"/>
      <c r="K142" s="35"/>
      <c r="L142" s="48"/>
      <c r="N142" s="47"/>
      <c r="O142" s="35"/>
      <c r="P142" s="35"/>
      <c r="Q142" s="35"/>
      <c r="R142" s="35"/>
      <c r="S142" s="35"/>
      <c r="T142" s="35"/>
      <c r="U142" s="35"/>
      <c r="V142" s="35"/>
      <c r="W142" s="35"/>
      <c r="X142" s="48"/>
      <c r="Z142" s="47"/>
      <c r="AA142" s="35"/>
      <c r="AB142" s="35"/>
      <c r="AC142" s="35"/>
      <c r="AD142" s="35"/>
      <c r="AE142" s="35"/>
      <c r="AF142" s="48"/>
    </row>
    <row r="143" spans="2:40" s="1" customFormat="1" ht="15.75" thickBot="1" x14ac:dyDescent="0.3">
      <c r="B143" s="47"/>
      <c r="C143" s="43"/>
      <c r="D143" s="43" t="s">
        <v>91</v>
      </c>
      <c r="E143" s="43" t="s">
        <v>138</v>
      </c>
      <c r="F143" s="43"/>
      <c r="G143" s="35"/>
      <c r="H143" s="43"/>
      <c r="I143" s="43" t="s">
        <v>92</v>
      </c>
      <c r="J143" s="43" t="s">
        <v>138</v>
      </c>
      <c r="K143" s="43"/>
      <c r="L143" s="48"/>
      <c r="M143" s="35"/>
      <c r="N143" s="47"/>
      <c r="O143" s="43"/>
      <c r="P143" s="43" t="s">
        <v>91</v>
      </c>
      <c r="Q143" s="43" t="s">
        <v>138</v>
      </c>
      <c r="R143" s="43"/>
      <c r="S143" s="35"/>
      <c r="T143" s="43"/>
      <c r="U143" s="43" t="s">
        <v>92</v>
      </c>
      <c r="V143" s="43" t="s">
        <v>138</v>
      </c>
      <c r="W143" s="43"/>
      <c r="X143" s="48"/>
      <c r="Z143" s="47"/>
      <c r="AA143" s="35"/>
      <c r="AB143" s="35"/>
      <c r="AC143" s="35"/>
      <c r="AD143" s="35"/>
      <c r="AE143" s="35"/>
      <c r="AF143" s="48"/>
    </row>
    <row r="144" spans="2:40" s="1" customFormat="1" ht="16.5" thickTop="1" x14ac:dyDescent="0.25">
      <c r="B144" s="47"/>
      <c r="C144" s="68" t="s">
        <v>0</v>
      </c>
      <c r="D144" s="69" t="s">
        <v>87</v>
      </c>
      <c r="E144" s="69" t="s">
        <v>5</v>
      </c>
      <c r="F144" s="69" t="s">
        <v>88</v>
      </c>
      <c r="G144" s="35"/>
      <c r="H144" s="68" t="s">
        <v>0</v>
      </c>
      <c r="I144" s="69" t="s">
        <v>87</v>
      </c>
      <c r="J144" s="69" t="s">
        <v>4</v>
      </c>
      <c r="K144" s="69" t="s">
        <v>88</v>
      </c>
      <c r="L144" s="55"/>
      <c r="M144" s="36"/>
      <c r="N144" s="47"/>
      <c r="O144" s="68" t="s">
        <v>0</v>
      </c>
      <c r="P144" s="69" t="s">
        <v>87</v>
      </c>
      <c r="Q144" s="69" t="s">
        <v>5</v>
      </c>
      <c r="R144" s="69" t="s">
        <v>88</v>
      </c>
      <c r="S144" s="36"/>
      <c r="T144" s="68" t="s">
        <v>0</v>
      </c>
      <c r="U144" s="69" t="s">
        <v>87</v>
      </c>
      <c r="V144" s="69" t="s">
        <v>88</v>
      </c>
      <c r="W144" s="69" t="s">
        <v>4</v>
      </c>
      <c r="X144" s="48"/>
      <c r="Z144" s="47"/>
      <c r="AA144" s="63" t="s">
        <v>0</v>
      </c>
      <c r="AB144" s="71" t="s">
        <v>96</v>
      </c>
      <c r="AC144" s="71" t="s">
        <v>97</v>
      </c>
      <c r="AD144" s="35"/>
      <c r="AE144" s="35"/>
      <c r="AF144" s="48"/>
    </row>
    <row r="145" spans="2:32" s="1" customFormat="1" x14ac:dyDescent="0.25">
      <c r="B145" s="47"/>
      <c r="C145" s="37">
        <v>1</v>
      </c>
      <c r="D145" s="35">
        <v>47</v>
      </c>
      <c r="E145" s="35">
        <v>27</v>
      </c>
      <c r="F145" s="35">
        <v>29</v>
      </c>
      <c r="G145" s="35"/>
      <c r="H145" s="37">
        <v>1</v>
      </c>
      <c r="I145" s="35">
        <v>58</v>
      </c>
      <c r="J145" s="35">
        <v>4</v>
      </c>
      <c r="K145" s="35">
        <v>36</v>
      </c>
      <c r="L145" s="48"/>
      <c r="N145" s="47"/>
      <c r="O145" s="37">
        <v>1</v>
      </c>
      <c r="P145" s="49">
        <f t="shared" ref="P145:P164" si="33">D145/(D145+E145+F145)</f>
        <v>0.4563106796116505</v>
      </c>
      <c r="Q145" s="49">
        <f t="shared" ref="Q145:Q164" si="34">E145/(D145+E145+F145)</f>
        <v>0.26213592233009708</v>
      </c>
      <c r="R145" s="49">
        <f t="shared" ref="R145:R164" si="35">F145/(D145+E145+F145)</f>
        <v>0.28155339805825241</v>
      </c>
      <c r="S145" s="35"/>
      <c r="T145" s="37">
        <v>1</v>
      </c>
      <c r="U145" s="49">
        <f t="shared" ref="U145:U164" si="36">I145/(I145+J145+K145)</f>
        <v>0.59183673469387754</v>
      </c>
      <c r="V145" s="49">
        <f t="shared" ref="V145:V164" si="37">J145/(J145+I145+K145)</f>
        <v>4.0816326530612242E-2</v>
      </c>
      <c r="W145" s="49">
        <f t="shared" ref="W145:W164" si="38">K145/(I145+J145+K145)</f>
        <v>0.36734693877551022</v>
      </c>
      <c r="X145" s="48"/>
      <c r="Y145"/>
      <c r="Z145" s="56"/>
      <c r="AA145" s="37">
        <v>1</v>
      </c>
      <c r="AB145" s="54">
        <f t="shared" ref="AB145:AB164" si="39">U145-P145</f>
        <v>0.13552605508222704</v>
      </c>
      <c r="AC145" s="54">
        <f t="shared" ref="AC145:AC164" si="40">R145-W145</f>
        <v>-8.579354071725781E-2</v>
      </c>
      <c r="AD145" s="35"/>
      <c r="AE145" s="35"/>
      <c r="AF145" s="48"/>
    </row>
    <row r="146" spans="2:32" s="1" customFormat="1" x14ac:dyDescent="0.25">
      <c r="B146" s="47"/>
      <c r="C146" s="37">
        <v>2</v>
      </c>
      <c r="D146" s="35">
        <v>23</v>
      </c>
      <c r="E146" s="35">
        <v>7</v>
      </c>
      <c r="F146" s="35">
        <v>73</v>
      </c>
      <c r="G146" s="35"/>
      <c r="H146" s="37">
        <v>2</v>
      </c>
      <c r="I146" s="35">
        <v>12</v>
      </c>
      <c r="J146" s="35">
        <v>44</v>
      </c>
      <c r="K146" s="35">
        <v>42</v>
      </c>
      <c r="L146" s="48"/>
      <c r="N146" s="47"/>
      <c r="O146" s="37">
        <v>2</v>
      </c>
      <c r="P146" s="49">
        <f t="shared" si="33"/>
        <v>0.22330097087378642</v>
      </c>
      <c r="Q146" s="49">
        <f t="shared" si="34"/>
        <v>6.7961165048543687E-2</v>
      </c>
      <c r="R146" s="49">
        <f t="shared" si="35"/>
        <v>0.70873786407766992</v>
      </c>
      <c r="S146" s="35"/>
      <c r="T146" s="37">
        <v>2</v>
      </c>
      <c r="U146" s="49">
        <f t="shared" si="36"/>
        <v>0.12244897959183673</v>
      </c>
      <c r="V146" s="49">
        <f t="shared" si="37"/>
        <v>0.44897959183673469</v>
      </c>
      <c r="W146" s="49">
        <f t="shared" si="38"/>
        <v>0.42857142857142855</v>
      </c>
      <c r="X146" s="48"/>
      <c r="Z146" s="47"/>
      <c r="AA146" s="37">
        <v>2</v>
      </c>
      <c r="AB146" s="54">
        <f t="shared" si="39"/>
        <v>-0.10085199128194969</v>
      </c>
      <c r="AC146" s="54">
        <f t="shared" si="40"/>
        <v>0.28016643550624137</v>
      </c>
      <c r="AD146" s="35"/>
      <c r="AE146" s="35"/>
      <c r="AF146" s="48"/>
    </row>
    <row r="147" spans="2:32" s="1" customFormat="1" x14ac:dyDescent="0.25">
      <c r="B147" s="47"/>
      <c r="C147" s="37">
        <v>3</v>
      </c>
      <c r="D147" s="35">
        <v>41</v>
      </c>
      <c r="E147" s="35">
        <v>18</v>
      </c>
      <c r="F147" s="35">
        <v>44</v>
      </c>
      <c r="G147" s="35"/>
      <c r="H147" s="37">
        <v>3</v>
      </c>
      <c r="I147" s="35">
        <v>44</v>
      </c>
      <c r="J147" s="35">
        <v>9</v>
      </c>
      <c r="K147" s="35">
        <v>45</v>
      </c>
      <c r="L147" s="48"/>
      <c r="N147" s="47"/>
      <c r="O147" s="37">
        <v>3</v>
      </c>
      <c r="P147" s="49">
        <f t="shared" si="33"/>
        <v>0.39805825242718446</v>
      </c>
      <c r="Q147" s="49">
        <f t="shared" si="34"/>
        <v>0.17475728155339806</v>
      </c>
      <c r="R147" s="49">
        <f t="shared" si="35"/>
        <v>0.42718446601941745</v>
      </c>
      <c r="S147" s="35"/>
      <c r="T147" s="37">
        <v>3</v>
      </c>
      <c r="U147" s="49">
        <f t="shared" si="36"/>
        <v>0.44897959183673469</v>
      </c>
      <c r="V147" s="49">
        <f t="shared" si="37"/>
        <v>9.1836734693877556E-2</v>
      </c>
      <c r="W147" s="49">
        <f t="shared" si="38"/>
        <v>0.45918367346938777</v>
      </c>
      <c r="X147" s="48"/>
      <c r="Z147" s="47"/>
      <c r="AA147" s="37">
        <v>3</v>
      </c>
      <c r="AB147" s="54">
        <f t="shared" si="39"/>
        <v>5.0921339409550237E-2</v>
      </c>
      <c r="AC147" s="54">
        <f t="shared" si="40"/>
        <v>-3.1999207449970313E-2</v>
      </c>
      <c r="AD147" s="35"/>
      <c r="AE147" s="35"/>
      <c r="AF147" s="48"/>
    </row>
    <row r="148" spans="2:32" s="1" customFormat="1" x14ac:dyDescent="0.25">
      <c r="B148" s="47"/>
      <c r="C148" s="37">
        <v>4</v>
      </c>
      <c r="D148" s="35">
        <v>29</v>
      </c>
      <c r="E148" s="35">
        <v>13</v>
      </c>
      <c r="F148" s="35">
        <v>61</v>
      </c>
      <c r="G148" s="35"/>
      <c r="H148" s="37">
        <v>4</v>
      </c>
      <c r="I148" s="35">
        <v>20</v>
      </c>
      <c r="J148" s="35">
        <v>21</v>
      </c>
      <c r="K148" s="35">
        <v>57</v>
      </c>
      <c r="L148" s="48"/>
      <c r="N148" s="47"/>
      <c r="O148" s="37">
        <v>4</v>
      </c>
      <c r="P148" s="49">
        <f t="shared" si="33"/>
        <v>0.28155339805825241</v>
      </c>
      <c r="Q148" s="49">
        <f t="shared" si="34"/>
        <v>0.12621359223300971</v>
      </c>
      <c r="R148" s="49">
        <f t="shared" si="35"/>
        <v>0.59223300970873782</v>
      </c>
      <c r="S148" s="35"/>
      <c r="T148" s="37">
        <v>4</v>
      </c>
      <c r="U148" s="49">
        <f t="shared" si="36"/>
        <v>0.20408163265306123</v>
      </c>
      <c r="V148" s="49">
        <f t="shared" si="37"/>
        <v>0.21428571428571427</v>
      </c>
      <c r="W148" s="49">
        <f t="shared" si="38"/>
        <v>0.58163265306122447</v>
      </c>
      <c r="X148" s="48"/>
      <c r="Z148" s="47"/>
      <c r="AA148" s="37">
        <v>4</v>
      </c>
      <c r="AB148" s="54">
        <f t="shared" si="39"/>
        <v>-7.7471765405191184E-2</v>
      </c>
      <c r="AC148" s="54">
        <f t="shared" si="40"/>
        <v>1.0600356647513354E-2</v>
      </c>
      <c r="AD148" s="35"/>
      <c r="AE148" s="35"/>
      <c r="AF148" s="48"/>
    </row>
    <row r="149" spans="2:32" s="1" customFormat="1" x14ac:dyDescent="0.25">
      <c r="B149" s="47"/>
      <c r="C149" s="37">
        <v>5</v>
      </c>
      <c r="D149" s="35">
        <v>49</v>
      </c>
      <c r="E149" s="35">
        <v>24</v>
      </c>
      <c r="F149" s="35">
        <v>30</v>
      </c>
      <c r="G149" s="35"/>
      <c r="H149" s="37">
        <v>5</v>
      </c>
      <c r="I149" s="35">
        <v>30</v>
      </c>
      <c r="J149" s="35">
        <v>32</v>
      </c>
      <c r="K149" s="35">
        <v>36</v>
      </c>
      <c r="L149" s="48"/>
      <c r="N149" s="47"/>
      <c r="O149" s="37">
        <v>5</v>
      </c>
      <c r="P149" s="49">
        <f t="shared" si="33"/>
        <v>0.47572815533980584</v>
      </c>
      <c r="Q149" s="49">
        <f t="shared" si="34"/>
        <v>0.23300970873786409</v>
      </c>
      <c r="R149" s="49">
        <f t="shared" si="35"/>
        <v>0.29126213592233008</v>
      </c>
      <c r="S149" s="35"/>
      <c r="T149" s="37">
        <v>5</v>
      </c>
      <c r="U149" s="49">
        <f t="shared" si="36"/>
        <v>0.30612244897959184</v>
      </c>
      <c r="V149" s="49">
        <f t="shared" si="37"/>
        <v>0.32653061224489793</v>
      </c>
      <c r="W149" s="49">
        <f t="shared" si="38"/>
        <v>0.36734693877551022</v>
      </c>
      <c r="X149" s="48"/>
      <c r="Z149" s="47"/>
      <c r="AA149" s="37">
        <v>5</v>
      </c>
      <c r="AB149" s="54">
        <f t="shared" si="39"/>
        <v>-0.16960570636021399</v>
      </c>
      <c r="AC149" s="54">
        <f t="shared" si="40"/>
        <v>-7.6084802853180145E-2</v>
      </c>
      <c r="AD149" s="35"/>
      <c r="AE149" s="35"/>
      <c r="AF149" s="48"/>
    </row>
    <row r="150" spans="2:32" s="1" customFormat="1" x14ac:dyDescent="0.25">
      <c r="B150" s="47"/>
      <c r="C150" s="37">
        <v>6</v>
      </c>
      <c r="D150" s="35">
        <v>63</v>
      </c>
      <c r="E150" s="35">
        <v>5</v>
      </c>
      <c r="F150" s="35">
        <v>35</v>
      </c>
      <c r="G150" s="35"/>
      <c r="H150" s="37">
        <v>6</v>
      </c>
      <c r="I150" s="35">
        <v>51</v>
      </c>
      <c r="J150" s="35">
        <v>30</v>
      </c>
      <c r="K150" s="35">
        <v>17</v>
      </c>
      <c r="L150" s="48"/>
      <c r="N150" s="47"/>
      <c r="O150" s="37">
        <v>6</v>
      </c>
      <c r="P150" s="49">
        <f t="shared" si="33"/>
        <v>0.61165048543689315</v>
      </c>
      <c r="Q150" s="49">
        <f t="shared" si="34"/>
        <v>4.8543689320388349E-2</v>
      </c>
      <c r="R150" s="49">
        <f t="shared" si="35"/>
        <v>0.33980582524271846</v>
      </c>
      <c r="S150" s="35"/>
      <c r="T150" s="37">
        <v>6</v>
      </c>
      <c r="U150" s="49">
        <f t="shared" si="36"/>
        <v>0.52040816326530615</v>
      </c>
      <c r="V150" s="49">
        <f t="shared" si="37"/>
        <v>0.30612244897959184</v>
      </c>
      <c r="W150" s="49">
        <f t="shared" si="38"/>
        <v>0.17346938775510204</v>
      </c>
      <c r="X150" s="48"/>
      <c r="Z150" s="47"/>
      <c r="AA150" s="37">
        <v>6</v>
      </c>
      <c r="AB150" s="54">
        <f t="shared" si="39"/>
        <v>-9.1242322171587009E-2</v>
      </c>
      <c r="AC150" s="54">
        <f t="shared" si="40"/>
        <v>0.16633643748761642</v>
      </c>
      <c r="AD150" s="35"/>
      <c r="AE150" s="35"/>
      <c r="AF150" s="48"/>
    </row>
    <row r="151" spans="2:32" s="1" customFormat="1" x14ac:dyDescent="0.25">
      <c r="B151" s="47"/>
      <c r="C151" s="37">
        <v>7</v>
      </c>
      <c r="D151" s="35">
        <v>20</v>
      </c>
      <c r="E151" s="35">
        <v>16</v>
      </c>
      <c r="F151" s="35">
        <v>67</v>
      </c>
      <c r="G151" s="35"/>
      <c r="H151" s="37">
        <v>7</v>
      </c>
      <c r="I151" s="35">
        <v>23</v>
      </c>
      <c r="J151" s="35">
        <v>51</v>
      </c>
      <c r="K151" s="35">
        <v>24</v>
      </c>
      <c r="L151" s="48"/>
      <c r="N151" s="47"/>
      <c r="O151" s="37">
        <v>7</v>
      </c>
      <c r="P151" s="49">
        <f t="shared" si="33"/>
        <v>0.1941747572815534</v>
      </c>
      <c r="Q151" s="49">
        <f t="shared" si="34"/>
        <v>0.1553398058252427</v>
      </c>
      <c r="R151" s="49">
        <f t="shared" si="35"/>
        <v>0.65048543689320393</v>
      </c>
      <c r="S151" s="35"/>
      <c r="T151" s="37">
        <v>7</v>
      </c>
      <c r="U151" s="49">
        <f t="shared" si="36"/>
        <v>0.23469387755102042</v>
      </c>
      <c r="V151" s="49">
        <f t="shared" si="37"/>
        <v>0.52040816326530615</v>
      </c>
      <c r="W151" s="49">
        <f t="shared" si="38"/>
        <v>0.24489795918367346</v>
      </c>
      <c r="X151" s="48"/>
      <c r="Z151" s="47"/>
      <c r="AA151" s="37">
        <v>7</v>
      </c>
      <c r="AB151" s="54">
        <f t="shared" si="39"/>
        <v>4.0519120269467024E-2</v>
      </c>
      <c r="AC151" s="54">
        <f t="shared" si="40"/>
        <v>0.40558747770953046</v>
      </c>
      <c r="AD151" s="35"/>
      <c r="AE151" s="35"/>
      <c r="AF151" s="48"/>
    </row>
    <row r="152" spans="2:32" s="1" customFormat="1" x14ac:dyDescent="0.25">
      <c r="B152" s="47"/>
      <c r="C152" s="37">
        <v>8</v>
      </c>
      <c r="D152" s="35">
        <v>15</v>
      </c>
      <c r="E152" s="35">
        <v>25</v>
      </c>
      <c r="F152" s="35">
        <v>63</v>
      </c>
      <c r="G152" s="35"/>
      <c r="H152" s="37">
        <v>8</v>
      </c>
      <c r="I152" s="35">
        <v>16</v>
      </c>
      <c r="J152" s="35">
        <v>20</v>
      </c>
      <c r="K152" s="35">
        <v>62</v>
      </c>
      <c r="L152" s="48"/>
      <c r="N152" s="47"/>
      <c r="O152" s="37">
        <v>8</v>
      </c>
      <c r="P152" s="49">
        <f t="shared" si="33"/>
        <v>0.14563106796116504</v>
      </c>
      <c r="Q152" s="49">
        <f t="shared" si="34"/>
        <v>0.24271844660194175</v>
      </c>
      <c r="R152" s="49">
        <f t="shared" si="35"/>
        <v>0.61165048543689315</v>
      </c>
      <c r="S152" s="35"/>
      <c r="T152" s="37">
        <v>8</v>
      </c>
      <c r="U152" s="49">
        <f t="shared" si="36"/>
        <v>0.16326530612244897</v>
      </c>
      <c r="V152" s="49">
        <f t="shared" si="37"/>
        <v>0.20408163265306123</v>
      </c>
      <c r="W152" s="49">
        <f t="shared" si="38"/>
        <v>0.63265306122448983</v>
      </c>
      <c r="X152" s="48"/>
      <c r="Z152" s="47"/>
      <c r="AA152" s="37">
        <v>8</v>
      </c>
      <c r="AB152" s="54">
        <f t="shared" si="39"/>
        <v>1.7634238161283927E-2</v>
      </c>
      <c r="AC152" s="54">
        <f t="shared" si="40"/>
        <v>-2.1002575787596678E-2</v>
      </c>
      <c r="AD152" s="35"/>
      <c r="AE152" s="35"/>
      <c r="AF152" s="48"/>
    </row>
    <row r="153" spans="2:32" s="1" customFormat="1" x14ac:dyDescent="0.25">
      <c r="B153" s="47"/>
      <c r="C153" s="37">
        <v>9</v>
      </c>
      <c r="D153" s="35">
        <v>11</v>
      </c>
      <c r="E153" s="35">
        <v>69</v>
      </c>
      <c r="F153" s="35">
        <v>23</v>
      </c>
      <c r="G153" s="35"/>
      <c r="H153" s="37">
        <v>9</v>
      </c>
      <c r="I153" s="35">
        <v>14</v>
      </c>
      <c r="J153" s="35">
        <v>77</v>
      </c>
      <c r="K153" s="35">
        <v>7</v>
      </c>
      <c r="L153" s="48"/>
      <c r="N153" s="47"/>
      <c r="O153" s="37">
        <v>9</v>
      </c>
      <c r="P153" s="49">
        <f t="shared" si="33"/>
        <v>0.10679611650485436</v>
      </c>
      <c r="Q153" s="49">
        <f t="shared" si="34"/>
        <v>0.66990291262135926</v>
      </c>
      <c r="R153" s="49">
        <f t="shared" si="35"/>
        <v>0.22330097087378642</v>
      </c>
      <c r="S153" s="35"/>
      <c r="T153" s="37">
        <v>9</v>
      </c>
      <c r="U153" s="49">
        <f t="shared" si="36"/>
        <v>0.14285714285714285</v>
      </c>
      <c r="V153" s="49">
        <f t="shared" si="37"/>
        <v>0.7857142857142857</v>
      </c>
      <c r="W153" s="49">
        <f t="shared" si="38"/>
        <v>7.1428571428571425E-2</v>
      </c>
      <c r="X153" s="48"/>
      <c r="Z153" s="47"/>
      <c r="AA153" s="37">
        <v>9</v>
      </c>
      <c r="AB153" s="54">
        <f t="shared" si="39"/>
        <v>3.6061026352288486E-2</v>
      </c>
      <c r="AC153" s="54">
        <f t="shared" si="40"/>
        <v>0.151872399445215</v>
      </c>
      <c r="AD153" s="35"/>
      <c r="AE153" s="35"/>
      <c r="AF153" s="48"/>
    </row>
    <row r="154" spans="2:32" s="1" customFormat="1" x14ac:dyDescent="0.25">
      <c r="B154" s="47"/>
      <c r="C154" s="37">
        <v>10</v>
      </c>
      <c r="D154" s="35">
        <v>50</v>
      </c>
      <c r="E154" s="35">
        <v>11</v>
      </c>
      <c r="F154" s="35">
        <v>42</v>
      </c>
      <c r="G154" s="35"/>
      <c r="H154" s="37">
        <v>10</v>
      </c>
      <c r="I154" s="35">
        <v>40</v>
      </c>
      <c r="J154" s="35">
        <v>46</v>
      </c>
      <c r="K154" s="35">
        <v>12</v>
      </c>
      <c r="L154" s="48"/>
      <c r="N154" s="47"/>
      <c r="O154" s="37">
        <v>10</v>
      </c>
      <c r="P154" s="49">
        <f t="shared" si="33"/>
        <v>0.4854368932038835</v>
      </c>
      <c r="Q154" s="49">
        <f t="shared" si="34"/>
        <v>0.10679611650485436</v>
      </c>
      <c r="R154" s="49">
        <f t="shared" si="35"/>
        <v>0.40776699029126212</v>
      </c>
      <c r="S154" s="35"/>
      <c r="T154" s="37">
        <v>10</v>
      </c>
      <c r="U154" s="49">
        <f t="shared" si="36"/>
        <v>0.40816326530612246</v>
      </c>
      <c r="V154" s="49">
        <f t="shared" si="37"/>
        <v>0.46938775510204084</v>
      </c>
      <c r="W154" s="49">
        <f t="shared" si="38"/>
        <v>0.12244897959183673</v>
      </c>
      <c r="X154" s="48"/>
      <c r="Z154" s="47"/>
      <c r="AA154" s="37">
        <v>10</v>
      </c>
      <c r="AB154" s="54">
        <f t="shared" si="39"/>
        <v>-7.7273627897761044E-2</v>
      </c>
      <c r="AC154" s="54">
        <f t="shared" si="40"/>
        <v>0.28531801069942542</v>
      </c>
      <c r="AD154" s="35"/>
      <c r="AE154" s="35"/>
      <c r="AF154" s="48"/>
    </row>
    <row r="155" spans="2:32" s="1" customFormat="1" x14ac:dyDescent="0.25">
      <c r="B155" s="47"/>
      <c r="C155" s="37">
        <v>11</v>
      </c>
      <c r="D155" s="35">
        <v>31</v>
      </c>
      <c r="E155" s="35">
        <v>26</v>
      </c>
      <c r="F155" s="35">
        <v>46</v>
      </c>
      <c r="G155" s="35"/>
      <c r="H155" s="37">
        <v>11</v>
      </c>
      <c r="I155" s="35">
        <v>18</v>
      </c>
      <c r="J155" s="35">
        <v>34</v>
      </c>
      <c r="K155" s="35">
        <v>46</v>
      </c>
      <c r="L155" s="48"/>
      <c r="N155" s="47"/>
      <c r="O155" s="37">
        <v>11</v>
      </c>
      <c r="P155" s="49">
        <f t="shared" si="33"/>
        <v>0.30097087378640774</v>
      </c>
      <c r="Q155" s="49">
        <f t="shared" si="34"/>
        <v>0.25242718446601942</v>
      </c>
      <c r="R155" s="49">
        <f t="shared" si="35"/>
        <v>0.44660194174757284</v>
      </c>
      <c r="S155" s="35"/>
      <c r="T155" s="37">
        <v>11</v>
      </c>
      <c r="U155" s="49">
        <f t="shared" si="36"/>
        <v>0.18367346938775511</v>
      </c>
      <c r="V155" s="49">
        <f t="shared" si="37"/>
        <v>0.34693877551020408</v>
      </c>
      <c r="W155" s="49">
        <f t="shared" si="38"/>
        <v>0.46938775510204084</v>
      </c>
      <c r="X155" s="48"/>
      <c r="Z155" s="47"/>
      <c r="AA155" s="37">
        <v>11</v>
      </c>
      <c r="AB155" s="54">
        <f t="shared" si="39"/>
        <v>-0.11729740439865263</v>
      </c>
      <c r="AC155" s="54">
        <f t="shared" si="40"/>
        <v>-2.2785813354467999E-2</v>
      </c>
      <c r="AD155" s="35"/>
      <c r="AE155" s="35"/>
      <c r="AF155" s="48"/>
    </row>
    <row r="156" spans="2:32" s="1" customFormat="1" x14ac:dyDescent="0.25">
      <c r="B156" s="47"/>
      <c r="C156" s="37">
        <v>12</v>
      </c>
      <c r="D156" s="35">
        <v>41</v>
      </c>
      <c r="E156" s="35">
        <v>10</v>
      </c>
      <c r="F156" s="35">
        <v>52</v>
      </c>
      <c r="G156" s="35"/>
      <c r="H156" s="37">
        <v>12</v>
      </c>
      <c r="I156" s="35">
        <v>42</v>
      </c>
      <c r="J156" s="35">
        <v>15</v>
      </c>
      <c r="K156" s="35">
        <v>41</v>
      </c>
      <c r="L156" s="48"/>
      <c r="N156" s="47"/>
      <c r="O156" s="37">
        <v>12</v>
      </c>
      <c r="P156" s="49">
        <f t="shared" si="33"/>
        <v>0.39805825242718446</v>
      </c>
      <c r="Q156" s="49">
        <f t="shared" si="34"/>
        <v>9.7087378640776698E-2</v>
      </c>
      <c r="R156" s="49">
        <f t="shared" si="35"/>
        <v>0.50485436893203883</v>
      </c>
      <c r="S156" s="35"/>
      <c r="T156" s="37">
        <v>12</v>
      </c>
      <c r="U156" s="49">
        <f t="shared" si="36"/>
        <v>0.42857142857142855</v>
      </c>
      <c r="V156" s="49">
        <f t="shared" si="37"/>
        <v>0.15306122448979592</v>
      </c>
      <c r="W156" s="49">
        <f t="shared" si="38"/>
        <v>0.41836734693877553</v>
      </c>
      <c r="X156" s="48"/>
      <c r="Z156" s="47"/>
      <c r="AA156" s="37">
        <v>12</v>
      </c>
      <c r="AB156" s="54">
        <f t="shared" si="39"/>
        <v>3.0513176144244092E-2</v>
      </c>
      <c r="AC156" s="54">
        <f t="shared" si="40"/>
        <v>8.6487021993263302E-2</v>
      </c>
      <c r="AD156" s="35"/>
      <c r="AE156" s="35"/>
      <c r="AF156" s="48"/>
    </row>
    <row r="157" spans="2:32" s="1" customFormat="1" x14ac:dyDescent="0.25">
      <c r="B157" s="47"/>
      <c r="C157" s="37">
        <v>13</v>
      </c>
      <c r="D157" s="35">
        <v>62</v>
      </c>
      <c r="E157" s="35">
        <v>36</v>
      </c>
      <c r="F157" s="35">
        <v>5</v>
      </c>
      <c r="G157" s="35"/>
      <c r="H157" s="37">
        <v>13</v>
      </c>
      <c r="I157" s="35">
        <v>87</v>
      </c>
      <c r="J157" s="35">
        <v>5</v>
      </c>
      <c r="K157" s="35">
        <v>6</v>
      </c>
      <c r="L157" s="48"/>
      <c r="N157" s="47"/>
      <c r="O157" s="37">
        <v>13</v>
      </c>
      <c r="P157" s="49">
        <f t="shared" si="33"/>
        <v>0.60194174757281549</v>
      </c>
      <c r="Q157" s="49">
        <f t="shared" si="34"/>
        <v>0.34951456310679613</v>
      </c>
      <c r="R157" s="49">
        <f t="shared" si="35"/>
        <v>4.8543689320388349E-2</v>
      </c>
      <c r="S157" s="35"/>
      <c r="T157" s="37">
        <v>13</v>
      </c>
      <c r="U157" s="49">
        <f t="shared" si="36"/>
        <v>0.88775510204081631</v>
      </c>
      <c r="V157" s="49">
        <f t="shared" si="37"/>
        <v>5.1020408163265307E-2</v>
      </c>
      <c r="W157" s="49">
        <f t="shared" si="38"/>
        <v>6.1224489795918366E-2</v>
      </c>
      <c r="X157" s="48"/>
      <c r="Z157" s="47"/>
      <c r="AA157" s="37">
        <v>13</v>
      </c>
      <c r="AB157" s="54">
        <f t="shared" si="39"/>
        <v>0.28581335446800082</v>
      </c>
      <c r="AC157" s="54">
        <f t="shared" si="40"/>
        <v>-1.2680800475530017E-2</v>
      </c>
      <c r="AD157" s="35"/>
      <c r="AE157" s="35"/>
      <c r="AF157" s="48"/>
    </row>
    <row r="158" spans="2:32" s="1" customFormat="1" x14ac:dyDescent="0.25">
      <c r="B158" s="47"/>
      <c r="C158" s="37">
        <v>14</v>
      </c>
      <c r="D158" s="35">
        <v>61</v>
      </c>
      <c r="E158" s="35">
        <v>28</v>
      </c>
      <c r="F158" s="35">
        <v>14</v>
      </c>
      <c r="G158" s="35"/>
      <c r="H158" s="37">
        <v>14</v>
      </c>
      <c r="I158" s="35">
        <v>46</v>
      </c>
      <c r="J158" s="35">
        <v>47</v>
      </c>
      <c r="K158" s="35">
        <v>5</v>
      </c>
      <c r="L158" s="48"/>
      <c r="N158" s="47"/>
      <c r="O158" s="37">
        <v>14</v>
      </c>
      <c r="P158" s="49">
        <f t="shared" si="33"/>
        <v>0.59223300970873782</v>
      </c>
      <c r="Q158" s="49">
        <f t="shared" si="34"/>
        <v>0.27184466019417475</v>
      </c>
      <c r="R158" s="49">
        <f t="shared" si="35"/>
        <v>0.13592233009708737</v>
      </c>
      <c r="S158" s="35"/>
      <c r="T158" s="37">
        <v>14</v>
      </c>
      <c r="U158" s="49">
        <f t="shared" si="36"/>
        <v>0.46938775510204084</v>
      </c>
      <c r="V158" s="49">
        <f t="shared" si="37"/>
        <v>0.47959183673469385</v>
      </c>
      <c r="W158" s="49">
        <f t="shared" si="38"/>
        <v>5.1020408163265307E-2</v>
      </c>
      <c r="X158" s="48"/>
      <c r="Z158" s="47"/>
      <c r="AA158" s="37">
        <v>14</v>
      </c>
      <c r="AB158" s="54">
        <f t="shared" si="39"/>
        <v>-0.12284525460669699</v>
      </c>
      <c r="AC158" s="54">
        <f t="shared" si="40"/>
        <v>8.4901921933822067E-2</v>
      </c>
      <c r="AD158" s="35"/>
      <c r="AE158" s="35"/>
      <c r="AF158" s="48"/>
    </row>
    <row r="159" spans="2:32" s="1" customFormat="1" x14ac:dyDescent="0.25">
      <c r="B159" s="47"/>
      <c r="C159" s="37">
        <v>15</v>
      </c>
      <c r="D159" s="35">
        <v>30</v>
      </c>
      <c r="E159" s="35">
        <v>16</v>
      </c>
      <c r="F159" s="35">
        <v>57</v>
      </c>
      <c r="G159" s="35"/>
      <c r="H159" s="37">
        <v>15</v>
      </c>
      <c r="I159" s="35">
        <v>29</v>
      </c>
      <c r="J159" s="35">
        <v>22</v>
      </c>
      <c r="K159" s="35">
        <v>47</v>
      </c>
      <c r="L159" s="48"/>
      <c r="N159" s="47"/>
      <c r="O159" s="37">
        <v>15</v>
      </c>
      <c r="P159" s="49">
        <f t="shared" si="33"/>
        <v>0.29126213592233008</v>
      </c>
      <c r="Q159" s="49">
        <f t="shared" si="34"/>
        <v>0.1553398058252427</v>
      </c>
      <c r="R159" s="49">
        <f t="shared" si="35"/>
        <v>0.55339805825242716</v>
      </c>
      <c r="S159" s="35"/>
      <c r="T159" s="37">
        <v>15</v>
      </c>
      <c r="U159" s="49">
        <f t="shared" si="36"/>
        <v>0.29591836734693877</v>
      </c>
      <c r="V159" s="49">
        <f t="shared" si="37"/>
        <v>0.22448979591836735</v>
      </c>
      <c r="W159" s="49">
        <f t="shared" si="38"/>
        <v>0.47959183673469385</v>
      </c>
      <c r="X159" s="48"/>
      <c r="Z159" s="47"/>
      <c r="AA159" s="37">
        <v>15</v>
      </c>
      <c r="AB159" s="54">
        <f t="shared" si="39"/>
        <v>4.6562314246086922E-3</v>
      </c>
      <c r="AC159" s="54">
        <f t="shared" si="40"/>
        <v>7.3806221517733306E-2</v>
      </c>
      <c r="AD159" s="35"/>
      <c r="AE159" s="35"/>
      <c r="AF159" s="48"/>
    </row>
    <row r="160" spans="2:32" s="1" customFormat="1" x14ac:dyDescent="0.25">
      <c r="B160" s="47"/>
      <c r="C160" s="37">
        <v>16</v>
      </c>
      <c r="D160" s="35">
        <v>55</v>
      </c>
      <c r="E160" s="35">
        <v>16</v>
      </c>
      <c r="F160" s="35">
        <v>32</v>
      </c>
      <c r="G160" s="35"/>
      <c r="H160" s="37">
        <v>16</v>
      </c>
      <c r="I160" s="35">
        <v>44</v>
      </c>
      <c r="J160" s="35">
        <v>25</v>
      </c>
      <c r="K160" s="35">
        <v>29</v>
      </c>
      <c r="L160" s="48"/>
      <c r="N160" s="47"/>
      <c r="O160" s="37">
        <v>16</v>
      </c>
      <c r="P160" s="49">
        <f t="shared" si="33"/>
        <v>0.53398058252427183</v>
      </c>
      <c r="Q160" s="49">
        <f t="shared" si="34"/>
        <v>0.1553398058252427</v>
      </c>
      <c r="R160" s="49">
        <f t="shared" si="35"/>
        <v>0.31067961165048541</v>
      </c>
      <c r="S160" s="35"/>
      <c r="T160" s="37">
        <v>16</v>
      </c>
      <c r="U160" s="49">
        <f t="shared" si="36"/>
        <v>0.44897959183673469</v>
      </c>
      <c r="V160" s="49">
        <f t="shared" si="37"/>
        <v>0.25510204081632654</v>
      </c>
      <c r="W160" s="49">
        <f t="shared" si="38"/>
        <v>0.29591836734693877</v>
      </c>
      <c r="X160" s="48"/>
      <c r="Z160" s="47"/>
      <c r="AA160" s="37">
        <v>16</v>
      </c>
      <c r="AB160" s="54">
        <f t="shared" si="39"/>
        <v>-8.5000990687537137E-2</v>
      </c>
      <c r="AC160" s="54">
        <f t="shared" si="40"/>
        <v>1.4761244303546639E-2</v>
      </c>
      <c r="AD160" s="35"/>
      <c r="AE160" s="35"/>
      <c r="AF160" s="48"/>
    </row>
    <row r="161" spans="2:45" s="1" customFormat="1" x14ac:dyDescent="0.25">
      <c r="B161" s="47"/>
      <c r="C161" s="37">
        <v>17</v>
      </c>
      <c r="D161" s="35">
        <v>30</v>
      </c>
      <c r="E161" s="35">
        <v>29</v>
      </c>
      <c r="F161" s="35">
        <v>44</v>
      </c>
      <c r="G161" s="35"/>
      <c r="H161" s="37">
        <v>17</v>
      </c>
      <c r="I161" s="35">
        <v>26</v>
      </c>
      <c r="J161" s="35">
        <v>33</v>
      </c>
      <c r="K161" s="35">
        <v>39</v>
      </c>
      <c r="L161" s="48"/>
      <c r="N161" s="47"/>
      <c r="O161" s="37">
        <v>17</v>
      </c>
      <c r="P161" s="49">
        <f t="shared" si="33"/>
        <v>0.29126213592233008</v>
      </c>
      <c r="Q161" s="49">
        <f t="shared" si="34"/>
        <v>0.28155339805825241</v>
      </c>
      <c r="R161" s="49">
        <f t="shared" si="35"/>
        <v>0.42718446601941745</v>
      </c>
      <c r="S161" s="35"/>
      <c r="T161" s="37">
        <v>17</v>
      </c>
      <c r="U161" s="49">
        <f t="shared" si="36"/>
        <v>0.26530612244897961</v>
      </c>
      <c r="V161" s="49">
        <f t="shared" si="37"/>
        <v>0.33673469387755101</v>
      </c>
      <c r="W161" s="49">
        <f t="shared" si="38"/>
        <v>0.39795918367346939</v>
      </c>
      <c r="X161" s="48"/>
      <c r="Z161" s="47"/>
      <c r="AA161" s="37">
        <v>17</v>
      </c>
      <c r="AB161" s="54">
        <f t="shared" si="39"/>
        <v>-2.595601347335047E-2</v>
      </c>
      <c r="AC161" s="54">
        <f t="shared" si="40"/>
        <v>2.9225282345948067E-2</v>
      </c>
      <c r="AD161" s="35"/>
      <c r="AE161" s="35"/>
      <c r="AF161" s="48"/>
    </row>
    <row r="162" spans="2:45" s="1" customFormat="1" x14ac:dyDescent="0.25">
      <c r="B162" s="47"/>
      <c r="C162" s="37">
        <v>18</v>
      </c>
      <c r="D162" s="35">
        <v>48</v>
      </c>
      <c r="E162" s="35">
        <v>29</v>
      </c>
      <c r="F162" s="35">
        <v>26</v>
      </c>
      <c r="G162" s="35"/>
      <c r="H162" s="37">
        <v>18</v>
      </c>
      <c r="I162" s="35">
        <v>64</v>
      </c>
      <c r="J162" s="35">
        <v>11</v>
      </c>
      <c r="K162" s="35">
        <v>23</v>
      </c>
      <c r="L162" s="48"/>
      <c r="N162" s="47"/>
      <c r="O162" s="37">
        <v>18</v>
      </c>
      <c r="P162" s="49">
        <f t="shared" si="33"/>
        <v>0.46601941747572817</v>
      </c>
      <c r="Q162" s="49">
        <f t="shared" si="34"/>
        <v>0.28155339805825241</v>
      </c>
      <c r="R162" s="49">
        <f t="shared" si="35"/>
        <v>0.25242718446601942</v>
      </c>
      <c r="S162" s="35"/>
      <c r="T162" s="37">
        <v>18</v>
      </c>
      <c r="U162" s="49">
        <f t="shared" si="36"/>
        <v>0.65306122448979587</v>
      </c>
      <c r="V162" s="49">
        <f t="shared" si="37"/>
        <v>0.11224489795918367</v>
      </c>
      <c r="W162" s="49">
        <f t="shared" si="38"/>
        <v>0.23469387755102042</v>
      </c>
      <c r="X162" s="48"/>
      <c r="Z162" s="47"/>
      <c r="AA162" s="37">
        <v>18</v>
      </c>
      <c r="AB162" s="54">
        <f t="shared" si="39"/>
        <v>0.1870418070140677</v>
      </c>
      <c r="AC162" s="54">
        <f t="shared" si="40"/>
        <v>1.7733306914998997E-2</v>
      </c>
      <c r="AD162" s="35"/>
      <c r="AE162" s="35"/>
      <c r="AF162" s="48"/>
    </row>
    <row r="163" spans="2:45" s="1" customFormat="1" x14ac:dyDescent="0.25">
      <c r="B163" s="47"/>
      <c r="C163" s="37">
        <v>19</v>
      </c>
      <c r="D163" s="35">
        <v>45</v>
      </c>
      <c r="E163" s="35">
        <v>22</v>
      </c>
      <c r="F163" s="35">
        <v>36</v>
      </c>
      <c r="G163" s="35"/>
      <c r="H163" s="37">
        <v>19</v>
      </c>
      <c r="I163" s="35">
        <v>51</v>
      </c>
      <c r="J163" s="35">
        <v>10</v>
      </c>
      <c r="K163" s="35">
        <v>37</v>
      </c>
      <c r="L163" s="48"/>
      <c r="N163" s="47"/>
      <c r="O163" s="37">
        <v>19</v>
      </c>
      <c r="P163" s="49">
        <f t="shared" si="33"/>
        <v>0.43689320388349512</v>
      </c>
      <c r="Q163" s="49">
        <f t="shared" si="34"/>
        <v>0.21359223300970873</v>
      </c>
      <c r="R163" s="49">
        <f t="shared" si="35"/>
        <v>0.34951456310679613</v>
      </c>
      <c r="S163" s="35"/>
      <c r="T163" s="37">
        <v>19</v>
      </c>
      <c r="U163" s="49">
        <f t="shared" si="36"/>
        <v>0.52040816326530615</v>
      </c>
      <c r="V163" s="49">
        <f t="shared" si="37"/>
        <v>0.10204081632653061</v>
      </c>
      <c r="W163" s="49">
        <f t="shared" si="38"/>
        <v>0.37755102040816324</v>
      </c>
      <c r="X163" s="48"/>
      <c r="Z163" s="47"/>
      <c r="AA163" s="37">
        <v>19</v>
      </c>
      <c r="AB163" s="54">
        <f t="shared" si="39"/>
        <v>8.3514959381811027E-2</v>
      </c>
      <c r="AC163" s="54">
        <f t="shared" si="40"/>
        <v>-2.8036457301367113E-2</v>
      </c>
      <c r="AD163" s="35"/>
      <c r="AE163" s="35"/>
      <c r="AF163" s="48"/>
    </row>
    <row r="164" spans="2:45" s="1" customFormat="1" x14ac:dyDescent="0.25">
      <c r="B164" s="47"/>
      <c r="C164" s="37">
        <v>20</v>
      </c>
      <c r="D164" s="35">
        <v>54</v>
      </c>
      <c r="E164" s="35">
        <v>16</v>
      </c>
      <c r="F164" s="35">
        <v>33</v>
      </c>
      <c r="G164" s="35"/>
      <c r="H164" s="37">
        <v>20</v>
      </c>
      <c r="I164" s="35">
        <v>77</v>
      </c>
      <c r="J164" s="35">
        <v>5</v>
      </c>
      <c r="K164" s="35">
        <v>16</v>
      </c>
      <c r="L164" s="48"/>
      <c r="N164" s="47"/>
      <c r="O164" s="37">
        <v>20</v>
      </c>
      <c r="P164" s="49">
        <f t="shared" si="33"/>
        <v>0.52427184466019416</v>
      </c>
      <c r="Q164" s="49">
        <f t="shared" si="34"/>
        <v>0.1553398058252427</v>
      </c>
      <c r="R164" s="49">
        <f t="shared" si="35"/>
        <v>0.32038834951456313</v>
      </c>
      <c r="S164" s="35"/>
      <c r="T164" s="37">
        <v>20</v>
      </c>
      <c r="U164" s="49">
        <f t="shared" si="36"/>
        <v>0.7857142857142857</v>
      </c>
      <c r="V164" s="49">
        <f t="shared" si="37"/>
        <v>5.1020408163265307E-2</v>
      </c>
      <c r="W164" s="49">
        <f t="shared" si="38"/>
        <v>0.16326530612244897</v>
      </c>
      <c r="X164" s="48"/>
      <c r="Z164" s="47"/>
      <c r="AA164" s="37">
        <v>20</v>
      </c>
      <c r="AB164" s="54">
        <f t="shared" si="39"/>
        <v>0.26144244105409153</v>
      </c>
      <c r="AC164" s="54">
        <f t="shared" si="40"/>
        <v>0.15712304339211416</v>
      </c>
      <c r="AD164" s="35"/>
      <c r="AE164" s="35"/>
      <c r="AF164" s="48"/>
    </row>
    <row r="165" spans="2:45" s="1" customFormat="1" ht="15.75" thickBot="1" x14ac:dyDescent="0.3">
      <c r="B165" s="50"/>
      <c r="C165" s="43"/>
      <c r="D165" s="43"/>
      <c r="E165" s="43"/>
      <c r="F165" s="43"/>
      <c r="G165" s="43"/>
      <c r="H165" s="43"/>
      <c r="I165" s="43"/>
      <c r="J165" s="43"/>
      <c r="K165" s="43"/>
      <c r="L165" s="51"/>
      <c r="N165" s="50"/>
      <c r="O165" s="43"/>
      <c r="P165" s="43"/>
      <c r="Q165" s="43"/>
      <c r="R165" s="43"/>
      <c r="S165" s="43"/>
      <c r="T165" s="43"/>
      <c r="U165" s="43"/>
      <c r="V165" s="43"/>
      <c r="W165" s="43"/>
      <c r="X165" s="51"/>
      <c r="Z165" s="50"/>
      <c r="AA165" s="43"/>
      <c r="AB165" s="43"/>
      <c r="AC165" s="43"/>
      <c r="AD165" s="43"/>
      <c r="AE165" s="43"/>
      <c r="AF165" s="51"/>
    </row>
    <row r="166" spans="2:45" s="1" customFormat="1" ht="16.5" thickTop="1" thickBot="1" x14ac:dyDescent="0.3"/>
    <row r="167" spans="2:45" s="1" customFormat="1" ht="15.75" thickTop="1" x14ac:dyDescent="0.25">
      <c r="B167" s="44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6"/>
      <c r="O167" s="47"/>
      <c r="P167" s="44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6"/>
      <c r="AD167" s="44"/>
      <c r="AE167" s="45"/>
      <c r="AF167" s="45"/>
      <c r="AG167" s="45"/>
      <c r="AH167" s="45"/>
      <c r="AI167" s="45"/>
      <c r="AJ167" s="45"/>
      <c r="AK167" s="45"/>
      <c r="AL167" s="45"/>
      <c r="AM167" s="45"/>
      <c r="AN167" s="46"/>
      <c r="AP167" s="44"/>
      <c r="AQ167" s="45"/>
      <c r="AR167" s="45"/>
      <c r="AS167" s="46"/>
    </row>
    <row r="168" spans="2:45" s="1" customFormat="1" ht="18.75" x14ac:dyDescent="0.3">
      <c r="B168" s="47"/>
      <c r="C168" s="67" t="s">
        <v>105</v>
      </c>
      <c r="D168" s="67"/>
      <c r="E168" s="67"/>
      <c r="F168" s="67"/>
      <c r="G168" s="67"/>
      <c r="H168" s="67"/>
      <c r="I168" s="62"/>
      <c r="J168" s="62"/>
      <c r="K168" s="35"/>
      <c r="L168" s="35"/>
      <c r="M168" s="35"/>
      <c r="N168" s="48"/>
      <c r="O168" s="47"/>
      <c r="P168" s="47"/>
      <c r="Q168" s="83" t="s">
        <v>112</v>
      </c>
      <c r="R168" s="83"/>
      <c r="S168" s="83"/>
      <c r="T168" s="83"/>
      <c r="U168" s="84"/>
      <c r="V168" s="84"/>
      <c r="W168" s="35"/>
      <c r="X168" s="35"/>
      <c r="Y168" s="35"/>
      <c r="Z168" s="35"/>
      <c r="AA168" s="35"/>
      <c r="AB168" s="48"/>
      <c r="AD168" s="47"/>
      <c r="AE168" s="83" t="s">
        <v>121</v>
      </c>
      <c r="AF168" s="83"/>
      <c r="AG168" s="83"/>
      <c r="AH168" s="35"/>
      <c r="AI168" s="35"/>
      <c r="AJ168" s="35"/>
      <c r="AK168" s="35"/>
      <c r="AL168" s="35"/>
      <c r="AM168" s="35"/>
      <c r="AN168" s="48"/>
      <c r="AP168" s="47"/>
      <c r="AQ168" s="83" t="s">
        <v>129</v>
      </c>
      <c r="AR168" s="84"/>
      <c r="AS168" s="48"/>
    </row>
    <row r="169" spans="2:45" s="1" customFormat="1" ht="18.75" x14ac:dyDescent="0.3">
      <c r="B169" s="47"/>
      <c r="C169" s="35" t="s">
        <v>144</v>
      </c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48"/>
      <c r="O169" s="47"/>
      <c r="P169" s="47"/>
      <c r="Q169" s="35" t="s">
        <v>145</v>
      </c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48"/>
      <c r="AD169" s="47"/>
      <c r="AE169" s="40"/>
      <c r="AF169" s="40"/>
      <c r="AG169" s="40"/>
      <c r="AH169" s="35"/>
      <c r="AI169" s="35"/>
      <c r="AJ169" s="35"/>
      <c r="AK169" s="35"/>
      <c r="AL169" s="35"/>
      <c r="AM169" s="35"/>
      <c r="AN169" s="48"/>
      <c r="AP169" s="47"/>
      <c r="AQ169" s="35"/>
      <c r="AR169" s="35"/>
      <c r="AS169" s="48"/>
    </row>
    <row r="170" spans="2:45" s="1" customFormat="1" x14ac:dyDescent="0.25">
      <c r="B170" s="47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48"/>
      <c r="O170" s="47"/>
      <c r="P170" s="47"/>
      <c r="Q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48"/>
      <c r="AD170" s="47"/>
      <c r="AE170" s="35"/>
      <c r="AF170" s="35"/>
      <c r="AG170" s="35"/>
      <c r="AH170" s="35"/>
      <c r="AI170" s="35"/>
      <c r="AJ170" s="35"/>
      <c r="AK170" s="35"/>
      <c r="AL170" s="35"/>
      <c r="AM170" s="35"/>
      <c r="AN170" s="48"/>
      <c r="AP170" s="47"/>
      <c r="AQ170" s="35"/>
      <c r="AR170" s="35"/>
      <c r="AS170" s="48"/>
    </row>
    <row r="171" spans="2:45" s="1" customFormat="1" ht="19.5" thickBot="1" x14ac:dyDescent="0.35">
      <c r="B171" s="47"/>
      <c r="E171"/>
      <c r="F171" s="43"/>
      <c r="G171" s="43"/>
      <c r="H171" s="58" t="s">
        <v>124</v>
      </c>
      <c r="I171" s="35"/>
      <c r="J171"/>
      <c r="K171" s="43"/>
      <c r="L171" s="43"/>
      <c r="M171" s="58" t="s">
        <v>125</v>
      </c>
      <c r="N171" s="48"/>
      <c r="O171" s="60"/>
      <c r="P171" s="47"/>
      <c r="Q171" s="58"/>
      <c r="R171" s="36"/>
      <c r="S171" s="43"/>
      <c r="T171" s="43"/>
      <c r="U171" s="43"/>
      <c r="V171" s="58" t="s">
        <v>124</v>
      </c>
      <c r="W171" s="35"/>
      <c r="X171" s="58"/>
      <c r="Y171" s="43"/>
      <c r="Z171" s="43"/>
      <c r="AA171" s="58" t="s">
        <v>125</v>
      </c>
      <c r="AB171" s="48"/>
      <c r="AD171" s="47"/>
      <c r="AE171" s="43"/>
      <c r="AF171" s="43" t="s">
        <v>91</v>
      </c>
      <c r="AG171" s="43" t="s">
        <v>144</v>
      </c>
      <c r="AH171" s="35"/>
      <c r="AI171" s="43" t="s">
        <v>92</v>
      </c>
      <c r="AJ171" s="43" t="s">
        <v>145</v>
      </c>
      <c r="AK171" s="35"/>
      <c r="AL171" s="35" t="s">
        <v>127</v>
      </c>
      <c r="AM171"/>
      <c r="AN171" s="48"/>
      <c r="AP171" s="47"/>
      <c r="AQ171" s="35"/>
      <c r="AR171" s="35"/>
      <c r="AS171" s="48"/>
    </row>
    <row r="172" spans="2:45" s="1" customFormat="1" ht="16.5" thickTop="1" x14ac:dyDescent="0.25">
      <c r="B172" s="56"/>
      <c r="C172" s="80" t="s">
        <v>0</v>
      </c>
      <c r="D172" s="36"/>
      <c r="E172" s="81" t="s">
        <v>106</v>
      </c>
      <c r="F172" s="82" t="s">
        <v>107</v>
      </c>
      <c r="G172" s="82" t="s">
        <v>108</v>
      </c>
      <c r="H172" s="82" t="s">
        <v>119</v>
      </c>
      <c r="I172" s="35"/>
      <c r="J172" s="81" t="s">
        <v>109</v>
      </c>
      <c r="K172" s="82" t="s">
        <v>110</v>
      </c>
      <c r="L172" s="82" t="s">
        <v>111</v>
      </c>
      <c r="M172" s="81" t="s">
        <v>120</v>
      </c>
      <c r="N172" s="55"/>
      <c r="O172" s="56"/>
      <c r="P172" s="56"/>
      <c r="Q172" s="85" t="s">
        <v>0</v>
      </c>
      <c r="R172" s="37"/>
      <c r="S172" s="82" t="s">
        <v>113</v>
      </c>
      <c r="T172" s="82" t="s">
        <v>114</v>
      </c>
      <c r="U172" s="82" t="s">
        <v>115</v>
      </c>
      <c r="V172" s="82" t="s">
        <v>119</v>
      </c>
      <c r="W172" s="35"/>
      <c r="X172" s="82" t="s">
        <v>116</v>
      </c>
      <c r="Y172" s="82" t="s">
        <v>117</v>
      </c>
      <c r="Z172" s="82" t="s">
        <v>118</v>
      </c>
      <c r="AA172" s="81" t="s">
        <v>120</v>
      </c>
      <c r="AB172" s="55"/>
      <c r="AD172" s="47"/>
      <c r="AE172" s="85" t="s">
        <v>0</v>
      </c>
      <c r="AF172" s="82" t="s">
        <v>122</v>
      </c>
      <c r="AG172" s="82" t="s">
        <v>123</v>
      </c>
      <c r="AH172" s="36"/>
      <c r="AI172" s="82" t="s">
        <v>122</v>
      </c>
      <c r="AJ172" s="82" t="s">
        <v>123</v>
      </c>
      <c r="AK172" s="65"/>
      <c r="AL172" s="61" t="s">
        <v>85</v>
      </c>
      <c r="AM172" s="61" t="s">
        <v>126</v>
      </c>
      <c r="AN172" s="48"/>
      <c r="AP172" s="47"/>
      <c r="AQ172" s="80" t="s">
        <v>0</v>
      </c>
      <c r="AR172" s="86" t="s">
        <v>71</v>
      </c>
      <c r="AS172" s="48"/>
    </row>
    <row r="173" spans="2:45" s="1" customFormat="1" x14ac:dyDescent="0.25">
      <c r="B173" s="47"/>
      <c r="C173" s="37">
        <v>1</v>
      </c>
      <c r="D173" s="37"/>
      <c r="E173" s="35">
        <v>40</v>
      </c>
      <c r="F173" s="35">
        <v>7</v>
      </c>
      <c r="G173" s="35">
        <v>11</v>
      </c>
      <c r="H173" s="64">
        <f>SUM(E173:G173)</f>
        <v>58</v>
      </c>
      <c r="I173" s="35"/>
      <c r="J173" s="35">
        <v>26</v>
      </c>
      <c r="K173" s="35">
        <v>2</v>
      </c>
      <c r="L173" s="35">
        <v>17</v>
      </c>
      <c r="M173" s="64">
        <f>SUM(J173:L173)</f>
        <v>45</v>
      </c>
      <c r="N173" s="48"/>
      <c r="O173" s="35"/>
      <c r="P173" s="47"/>
      <c r="Q173" s="37">
        <v>1</v>
      </c>
      <c r="R173" s="37"/>
      <c r="S173" s="35">
        <v>15</v>
      </c>
      <c r="T173" s="35">
        <v>44</v>
      </c>
      <c r="U173" s="35">
        <v>0</v>
      </c>
      <c r="V173" s="64">
        <f>SUM(S173:U173)</f>
        <v>59</v>
      </c>
      <c r="W173" s="35"/>
      <c r="X173" s="35">
        <v>23</v>
      </c>
      <c r="Y173" s="35">
        <v>1</v>
      </c>
      <c r="Z173" s="35">
        <v>15</v>
      </c>
      <c r="AA173" s="64">
        <f>SUM(X173:Z173)</f>
        <v>39</v>
      </c>
      <c r="AB173" s="48"/>
      <c r="AD173" s="47"/>
      <c r="AE173" s="37">
        <v>1</v>
      </c>
      <c r="AF173" s="49">
        <f>H173/(H173+M173)</f>
        <v>0.56310679611650483</v>
      </c>
      <c r="AG173" s="49">
        <f>M173/(H173+M173)</f>
        <v>0.43689320388349512</v>
      </c>
      <c r="AH173" s="35"/>
      <c r="AI173" s="49">
        <f>V173/(V173+AA173)</f>
        <v>0.60204081632653061</v>
      </c>
      <c r="AJ173" s="49">
        <f>AA173/(V173+AA173)</f>
        <v>0.39795918367346939</v>
      </c>
      <c r="AK173" s="49"/>
      <c r="AL173" s="49"/>
      <c r="AM173" s="49"/>
      <c r="AN173" s="48"/>
      <c r="AP173" s="56"/>
      <c r="AQ173" s="37">
        <v>1</v>
      </c>
      <c r="AR173" s="54">
        <f>AI173-AF173</f>
        <v>3.8934020210025788E-2</v>
      </c>
      <c r="AS173" s="48"/>
    </row>
    <row r="174" spans="2:45" s="1" customFormat="1" x14ac:dyDescent="0.25">
      <c r="B174" s="47"/>
      <c r="C174" s="37">
        <v>2</v>
      </c>
      <c r="D174" s="37"/>
      <c r="E174" s="35">
        <v>3</v>
      </c>
      <c r="F174" s="35">
        <v>23</v>
      </c>
      <c r="G174" s="35">
        <v>1</v>
      </c>
      <c r="H174" s="64">
        <f t="shared" ref="H174:H192" si="41">SUM(E174:G174)</f>
        <v>27</v>
      </c>
      <c r="I174" s="35"/>
      <c r="J174" s="35">
        <v>64</v>
      </c>
      <c r="K174" s="35">
        <v>4</v>
      </c>
      <c r="L174" s="35">
        <v>8</v>
      </c>
      <c r="M174" s="64">
        <f t="shared" ref="M174:M192" si="42">SUM(J174:L174)</f>
        <v>76</v>
      </c>
      <c r="N174" s="48"/>
      <c r="O174" s="35"/>
      <c r="P174" s="47"/>
      <c r="Q174" s="37">
        <v>2</v>
      </c>
      <c r="R174" s="37"/>
      <c r="S174" s="35">
        <v>8</v>
      </c>
      <c r="T174" s="35">
        <v>5</v>
      </c>
      <c r="U174" s="35">
        <v>17</v>
      </c>
      <c r="V174" s="64">
        <f t="shared" ref="V174:V190" si="43">SUM(S174:U174)</f>
        <v>30</v>
      </c>
      <c r="W174" s="35"/>
      <c r="X174" s="35">
        <v>7</v>
      </c>
      <c r="Y174" s="35">
        <v>31</v>
      </c>
      <c r="Z174" s="35">
        <v>30</v>
      </c>
      <c r="AA174" s="64">
        <f t="shared" ref="AA174:AA192" si="44">SUM(X174:Z174)</f>
        <v>68</v>
      </c>
      <c r="AB174" s="48"/>
      <c r="AD174" s="47"/>
      <c r="AE174" s="37">
        <v>2</v>
      </c>
      <c r="AF174" s="49">
        <f t="shared" ref="AF174:AF192" si="45">H174/(H174+M174)</f>
        <v>0.26213592233009708</v>
      </c>
      <c r="AG174" s="49">
        <f t="shared" ref="AG174:AG192" si="46">M174/(H174+M174)</f>
        <v>0.73786407766990292</v>
      </c>
      <c r="AH174" s="35"/>
      <c r="AI174" s="49">
        <f t="shared" ref="AI174:AI192" si="47">V174/(V174+AA174)</f>
        <v>0.30612244897959184</v>
      </c>
      <c r="AJ174" s="49">
        <f t="shared" ref="AJ174:AJ192" si="48">AA174/(V174+AA174)</f>
        <v>0.69387755102040816</v>
      </c>
      <c r="AK174" s="49"/>
      <c r="AL174" s="49"/>
      <c r="AM174" s="49"/>
      <c r="AN174" s="48"/>
      <c r="AP174" s="47"/>
      <c r="AQ174" s="37">
        <v>2</v>
      </c>
      <c r="AR174" s="54">
        <f t="shared" ref="AR174:AR192" si="49">AI174-AF174</f>
        <v>4.3986526649494762E-2</v>
      </c>
      <c r="AS174" s="48"/>
    </row>
    <row r="175" spans="2:45" s="1" customFormat="1" x14ac:dyDescent="0.25">
      <c r="B175" s="47"/>
      <c r="C175" s="37">
        <v>3</v>
      </c>
      <c r="D175" s="37"/>
      <c r="E175" s="35">
        <v>5</v>
      </c>
      <c r="F175" s="35">
        <v>20</v>
      </c>
      <c r="G175" s="35">
        <v>14</v>
      </c>
      <c r="H175" s="64">
        <f t="shared" si="41"/>
        <v>39</v>
      </c>
      <c r="I175" s="35"/>
      <c r="J175" s="35">
        <v>35</v>
      </c>
      <c r="K175" s="35">
        <v>9</v>
      </c>
      <c r="L175" s="35">
        <v>20</v>
      </c>
      <c r="M175" s="64">
        <f t="shared" si="42"/>
        <v>64</v>
      </c>
      <c r="N175" s="48"/>
      <c r="O175" s="35"/>
      <c r="P175" s="47"/>
      <c r="Q175" s="37">
        <v>3</v>
      </c>
      <c r="R175" s="37"/>
      <c r="S175" s="35">
        <v>6</v>
      </c>
      <c r="T175" s="35">
        <v>30</v>
      </c>
      <c r="U175" s="35">
        <v>7</v>
      </c>
      <c r="V175" s="64">
        <f t="shared" si="43"/>
        <v>43</v>
      </c>
      <c r="W175" s="35"/>
      <c r="X175" s="35">
        <v>42</v>
      </c>
      <c r="Y175" s="35">
        <v>5</v>
      </c>
      <c r="Z175" s="35">
        <v>8</v>
      </c>
      <c r="AA175" s="64">
        <f t="shared" si="44"/>
        <v>55</v>
      </c>
      <c r="AB175" s="48"/>
      <c r="AD175" s="47"/>
      <c r="AE175" s="37">
        <v>3</v>
      </c>
      <c r="AF175" s="49">
        <f t="shared" si="45"/>
        <v>0.37864077669902912</v>
      </c>
      <c r="AG175" s="49">
        <f t="shared" si="46"/>
        <v>0.62135922330097082</v>
      </c>
      <c r="AH175" s="35"/>
      <c r="AI175" s="49">
        <f t="shared" si="47"/>
        <v>0.43877551020408162</v>
      </c>
      <c r="AJ175" s="49">
        <f t="shared" si="48"/>
        <v>0.56122448979591832</v>
      </c>
      <c r="AK175" s="49"/>
      <c r="AL175" s="49"/>
      <c r="AM175" s="49"/>
      <c r="AN175" s="48"/>
      <c r="AP175" s="47"/>
      <c r="AQ175" s="37">
        <v>3</v>
      </c>
      <c r="AR175" s="54">
        <f t="shared" si="49"/>
        <v>6.0134733505052496E-2</v>
      </c>
      <c r="AS175" s="48"/>
    </row>
    <row r="176" spans="2:45" s="1" customFormat="1" x14ac:dyDescent="0.25">
      <c r="B176" s="47"/>
      <c r="C176" s="37">
        <v>4</v>
      </c>
      <c r="D176" s="37"/>
      <c r="E176" s="35">
        <v>21</v>
      </c>
      <c r="F176" s="35">
        <v>10</v>
      </c>
      <c r="G176" s="35">
        <v>11</v>
      </c>
      <c r="H176" s="64">
        <f t="shared" si="41"/>
        <v>42</v>
      </c>
      <c r="I176" s="35"/>
      <c r="J176" s="35">
        <v>35</v>
      </c>
      <c r="K176" s="35">
        <v>4</v>
      </c>
      <c r="L176" s="35">
        <v>22</v>
      </c>
      <c r="M176" s="64">
        <f t="shared" si="42"/>
        <v>61</v>
      </c>
      <c r="N176" s="48"/>
      <c r="O176" s="35"/>
      <c r="P176" s="47"/>
      <c r="Q176" s="37">
        <v>4</v>
      </c>
      <c r="R176" s="37"/>
      <c r="S176" s="35">
        <v>9</v>
      </c>
      <c r="T176" s="35">
        <v>14</v>
      </c>
      <c r="U176" s="35">
        <v>7</v>
      </c>
      <c r="V176" s="64">
        <f t="shared" si="43"/>
        <v>30</v>
      </c>
      <c r="W176" s="35"/>
      <c r="X176" s="35">
        <v>39</v>
      </c>
      <c r="Y176" s="35">
        <v>12</v>
      </c>
      <c r="Z176" s="35">
        <v>17</v>
      </c>
      <c r="AA176" s="64">
        <f t="shared" si="44"/>
        <v>68</v>
      </c>
      <c r="AB176" s="48"/>
      <c r="AD176" s="47"/>
      <c r="AE176" s="37">
        <v>4</v>
      </c>
      <c r="AF176" s="49">
        <f t="shared" si="45"/>
        <v>0.40776699029126212</v>
      </c>
      <c r="AG176" s="49">
        <f t="shared" si="46"/>
        <v>0.59223300970873782</v>
      </c>
      <c r="AH176" s="35"/>
      <c r="AI176" s="49">
        <f t="shared" si="47"/>
        <v>0.30612244897959184</v>
      </c>
      <c r="AJ176" s="49">
        <f t="shared" si="48"/>
        <v>0.69387755102040816</v>
      </c>
      <c r="AK176" s="49"/>
      <c r="AL176" s="49"/>
      <c r="AM176" s="49"/>
      <c r="AN176" s="48"/>
      <c r="AP176" s="47"/>
      <c r="AQ176" s="37">
        <v>4</v>
      </c>
      <c r="AR176" s="54">
        <f t="shared" si="49"/>
        <v>-0.10164454131167028</v>
      </c>
      <c r="AS176" s="48"/>
    </row>
    <row r="177" spans="2:45" s="1" customFormat="1" x14ac:dyDescent="0.25">
      <c r="B177" s="47"/>
      <c r="C177" s="37">
        <v>5</v>
      </c>
      <c r="D177" s="37"/>
      <c r="E177" s="35">
        <v>16</v>
      </c>
      <c r="F177" s="35">
        <v>31</v>
      </c>
      <c r="G177" s="35">
        <v>5</v>
      </c>
      <c r="H177" s="64">
        <f t="shared" si="41"/>
        <v>52</v>
      </c>
      <c r="I177" s="35"/>
      <c r="J177" s="35">
        <v>36</v>
      </c>
      <c r="K177" s="35">
        <v>7</v>
      </c>
      <c r="L177" s="35">
        <v>8</v>
      </c>
      <c r="M177" s="64">
        <f t="shared" si="42"/>
        <v>51</v>
      </c>
      <c r="N177" s="48"/>
      <c r="O177" s="35"/>
      <c r="P177" s="47"/>
      <c r="Q177" s="37">
        <v>5</v>
      </c>
      <c r="R177" s="37"/>
      <c r="S177" s="35">
        <v>14</v>
      </c>
      <c r="T177" s="35">
        <v>20</v>
      </c>
      <c r="U177" s="35">
        <v>5</v>
      </c>
      <c r="V177" s="64">
        <f t="shared" si="43"/>
        <v>39</v>
      </c>
      <c r="W177" s="35"/>
      <c r="X177" s="35">
        <v>8</v>
      </c>
      <c r="Y177" s="35">
        <v>26</v>
      </c>
      <c r="Z177" s="35">
        <v>25</v>
      </c>
      <c r="AA177" s="64">
        <f t="shared" si="44"/>
        <v>59</v>
      </c>
      <c r="AB177" s="48"/>
      <c r="AD177" s="47"/>
      <c r="AE177" s="37">
        <v>5</v>
      </c>
      <c r="AF177" s="49">
        <f t="shared" si="45"/>
        <v>0.50485436893203883</v>
      </c>
      <c r="AG177" s="49">
        <f t="shared" si="46"/>
        <v>0.49514563106796117</v>
      </c>
      <c r="AH177" s="35"/>
      <c r="AI177" s="49">
        <f t="shared" si="47"/>
        <v>0.39795918367346939</v>
      </c>
      <c r="AJ177" s="49">
        <f t="shared" si="48"/>
        <v>0.60204081632653061</v>
      </c>
      <c r="AK177" s="49"/>
      <c r="AL177" s="49"/>
      <c r="AM177" s="49"/>
      <c r="AN177" s="48"/>
      <c r="AP177" s="47"/>
      <c r="AQ177" s="37">
        <v>5</v>
      </c>
      <c r="AR177" s="54">
        <f t="shared" si="49"/>
        <v>-0.10689518525856945</v>
      </c>
      <c r="AS177" s="48"/>
    </row>
    <row r="178" spans="2:45" s="1" customFormat="1" x14ac:dyDescent="0.25">
      <c r="B178" s="47"/>
      <c r="C178" s="37">
        <v>6</v>
      </c>
      <c r="D178" s="37"/>
      <c r="E178" s="35">
        <v>31</v>
      </c>
      <c r="F178" s="35">
        <v>33</v>
      </c>
      <c r="G178" s="35">
        <v>7</v>
      </c>
      <c r="H178" s="64">
        <f t="shared" si="41"/>
        <v>71</v>
      </c>
      <c r="I178" s="35"/>
      <c r="J178" s="35">
        <v>21</v>
      </c>
      <c r="K178" s="35">
        <v>4</v>
      </c>
      <c r="L178" s="35">
        <v>7</v>
      </c>
      <c r="M178" s="64">
        <f t="shared" si="42"/>
        <v>32</v>
      </c>
      <c r="N178" s="48"/>
      <c r="O178" s="35"/>
      <c r="P178" s="47"/>
      <c r="Q178" s="37">
        <v>6</v>
      </c>
      <c r="R178" s="37"/>
      <c r="S178" s="35">
        <v>22</v>
      </c>
      <c r="T178" s="35">
        <v>28</v>
      </c>
      <c r="U178" s="35">
        <v>18</v>
      </c>
      <c r="V178" s="64">
        <f t="shared" si="43"/>
        <v>68</v>
      </c>
      <c r="W178" s="35"/>
      <c r="X178" s="35">
        <v>12</v>
      </c>
      <c r="Y178" s="35">
        <v>13</v>
      </c>
      <c r="Z178" s="35">
        <v>5</v>
      </c>
      <c r="AA178" s="64">
        <f t="shared" si="44"/>
        <v>30</v>
      </c>
      <c r="AB178" s="48"/>
      <c r="AD178" s="47"/>
      <c r="AE178" s="37">
        <v>6</v>
      </c>
      <c r="AF178" s="49">
        <f t="shared" si="45"/>
        <v>0.68932038834951459</v>
      </c>
      <c r="AG178" s="49">
        <f t="shared" si="46"/>
        <v>0.31067961165048541</v>
      </c>
      <c r="AH178" s="35"/>
      <c r="AI178" s="49">
        <f t="shared" si="47"/>
        <v>0.69387755102040816</v>
      </c>
      <c r="AJ178" s="49">
        <f t="shared" si="48"/>
        <v>0.30612244897959184</v>
      </c>
      <c r="AK178" s="49"/>
      <c r="AL178" s="49"/>
      <c r="AM178" s="49"/>
      <c r="AN178" s="48"/>
      <c r="AP178" s="47"/>
      <c r="AQ178" s="37">
        <v>6</v>
      </c>
      <c r="AR178" s="54">
        <f t="shared" si="49"/>
        <v>4.5571626708935664E-3</v>
      </c>
      <c r="AS178" s="48"/>
    </row>
    <row r="179" spans="2:45" s="1" customFormat="1" x14ac:dyDescent="0.25">
      <c r="B179" s="47"/>
      <c r="C179" s="37">
        <v>7</v>
      </c>
      <c r="D179" s="37"/>
      <c r="E179" s="35">
        <v>28</v>
      </c>
      <c r="F179" s="35">
        <v>2</v>
      </c>
      <c r="G179" s="35">
        <v>11</v>
      </c>
      <c r="H179" s="64">
        <f t="shared" si="41"/>
        <v>41</v>
      </c>
      <c r="I179" s="35"/>
      <c r="J179" s="35">
        <v>23</v>
      </c>
      <c r="K179" s="35">
        <v>2</v>
      </c>
      <c r="L179" s="35">
        <v>37</v>
      </c>
      <c r="M179" s="64">
        <f t="shared" si="42"/>
        <v>62</v>
      </c>
      <c r="N179" s="48"/>
      <c r="O179" s="35"/>
      <c r="P179" s="47"/>
      <c r="Q179" s="37">
        <v>7</v>
      </c>
      <c r="R179" s="37"/>
      <c r="S179" s="35">
        <v>21</v>
      </c>
      <c r="T179" s="35">
        <v>5</v>
      </c>
      <c r="U179" s="35">
        <v>14</v>
      </c>
      <c r="V179" s="64">
        <f t="shared" si="43"/>
        <v>40</v>
      </c>
      <c r="W179" s="35"/>
      <c r="X179" s="35">
        <v>2</v>
      </c>
      <c r="Y179" s="35">
        <v>37</v>
      </c>
      <c r="Z179" s="35">
        <v>19</v>
      </c>
      <c r="AA179" s="64">
        <f t="shared" si="44"/>
        <v>58</v>
      </c>
      <c r="AB179" s="48"/>
      <c r="AD179" s="47"/>
      <c r="AE179" s="37">
        <v>7</v>
      </c>
      <c r="AF179" s="49">
        <f t="shared" si="45"/>
        <v>0.39805825242718446</v>
      </c>
      <c r="AG179" s="49">
        <f t="shared" si="46"/>
        <v>0.60194174757281549</v>
      </c>
      <c r="AH179" s="35"/>
      <c r="AI179" s="49">
        <f t="shared" si="47"/>
        <v>0.40816326530612246</v>
      </c>
      <c r="AJ179" s="49">
        <f t="shared" si="48"/>
        <v>0.59183673469387754</v>
      </c>
      <c r="AK179" s="49"/>
      <c r="AL179" s="49"/>
      <c r="AM179" s="49"/>
      <c r="AN179" s="48"/>
      <c r="AP179" s="47"/>
      <c r="AQ179" s="37">
        <v>7</v>
      </c>
      <c r="AR179" s="54">
        <f t="shared" si="49"/>
        <v>1.0105012878938002E-2</v>
      </c>
      <c r="AS179" s="48"/>
    </row>
    <row r="180" spans="2:45" s="1" customFormat="1" x14ac:dyDescent="0.25">
      <c r="B180" s="47"/>
      <c r="C180" s="37">
        <v>8</v>
      </c>
      <c r="D180" s="37"/>
      <c r="E180" s="35">
        <v>18</v>
      </c>
      <c r="F180" s="35">
        <v>4</v>
      </c>
      <c r="G180" s="35">
        <v>6</v>
      </c>
      <c r="H180" s="64">
        <f t="shared" si="41"/>
        <v>28</v>
      </c>
      <c r="I180" s="35"/>
      <c r="J180" s="35">
        <v>34</v>
      </c>
      <c r="K180" s="35">
        <v>7</v>
      </c>
      <c r="L180" s="35">
        <v>34</v>
      </c>
      <c r="M180" s="64">
        <f t="shared" si="42"/>
        <v>75</v>
      </c>
      <c r="N180" s="48"/>
      <c r="O180" s="35"/>
      <c r="P180" s="47"/>
      <c r="Q180" s="37">
        <v>8</v>
      </c>
      <c r="R180" s="37"/>
      <c r="S180" s="35">
        <v>10</v>
      </c>
      <c r="T180" s="35">
        <v>6</v>
      </c>
      <c r="U180" s="35">
        <v>4</v>
      </c>
      <c r="V180" s="64">
        <f t="shared" si="43"/>
        <v>20</v>
      </c>
      <c r="W180" s="35"/>
      <c r="X180" s="35">
        <v>9</v>
      </c>
      <c r="Y180" s="35">
        <v>18</v>
      </c>
      <c r="Z180" s="35">
        <v>51</v>
      </c>
      <c r="AA180" s="64">
        <f t="shared" si="44"/>
        <v>78</v>
      </c>
      <c r="AB180" s="48"/>
      <c r="AD180" s="47"/>
      <c r="AE180" s="37">
        <v>8</v>
      </c>
      <c r="AF180" s="49">
        <f t="shared" si="45"/>
        <v>0.27184466019417475</v>
      </c>
      <c r="AG180" s="49">
        <f t="shared" si="46"/>
        <v>0.72815533980582525</v>
      </c>
      <c r="AH180" s="35"/>
      <c r="AI180" s="49">
        <f t="shared" si="47"/>
        <v>0.20408163265306123</v>
      </c>
      <c r="AJ180" s="49">
        <f t="shared" si="48"/>
        <v>0.79591836734693877</v>
      </c>
      <c r="AK180" s="49"/>
      <c r="AL180" s="49"/>
      <c r="AM180" s="49"/>
      <c r="AN180" s="48"/>
      <c r="AP180" s="47"/>
      <c r="AQ180" s="37">
        <v>8</v>
      </c>
      <c r="AR180" s="54">
        <f t="shared" si="49"/>
        <v>-6.7763027541113519E-2</v>
      </c>
      <c r="AS180" s="48"/>
    </row>
    <row r="181" spans="2:45" s="1" customFormat="1" x14ac:dyDescent="0.25">
      <c r="B181" s="47"/>
      <c r="C181" s="37">
        <v>9</v>
      </c>
      <c r="D181" s="37"/>
      <c r="E181" s="35">
        <v>3</v>
      </c>
      <c r="F181" s="35">
        <v>5</v>
      </c>
      <c r="G181" s="35">
        <v>27</v>
      </c>
      <c r="H181" s="64">
        <f t="shared" si="41"/>
        <v>35</v>
      </c>
      <c r="I181" s="35"/>
      <c r="J181" s="35">
        <v>4</v>
      </c>
      <c r="K181" s="35">
        <v>41</v>
      </c>
      <c r="L181" s="35">
        <v>23</v>
      </c>
      <c r="M181" s="64">
        <f t="shared" si="42"/>
        <v>68</v>
      </c>
      <c r="N181" s="48"/>
      <c r="O181" s="35"/>
      <c r="P181" s="47"/>
      <c r="Q181" s="37">
        <v>9</v>
      </c>
      <c r="R181" s="37"/>
      <c r="S181" s="35">
        <v>10</v>
      </c>
      <c r="T181" s="35">
        <v>6</v>
      </c>
      <c r="U181" s="35">
        <v>19</v>
      </c>
      <c r="V181" s="64">
        <f t="shared" si="43"/>
        <v>35</v>
      </c>
      <c r="W181" s="35"/>
      <c r="X181" s="35">
        <v>0</v>
      </c>
      <c r="Y181" s="35">
        <v>57</v>
      </c>
      <c r="Z181" s="35">
        <v>6</v>
      </c>
      <c r="AA181" s="64">
        <f t="shared" si="44"/>
        <v>63</v>
      </c>
      <c r="AB181" s="48"/>
      <c r="AD181" s="47"/>
      <c r="AE181" s="37">
        <v>9</v>
      </c>
      <c r="AF181" s="49">
        <f t="shared" si="45"/>
        <v>0.33980582524271846</v>
      </c>
      <c r="AG181" s="49">
        <f t="shared" si="46"/>
        <v>0.66019417475728159</v>
      </c>
      <c r="AH181" s="35"/>
      <c r="AI181" s="49">
        <f t="shared" si="47"/>
        <v>0.35714285714285715</v>
      </c>
      <c r="AJ181" s="49">
        <f t="shared" si="48"/>
        <v>0.6428571428571429</v>
      </c>
      <c r="AK181" s="49"/>
      <c r="AL181" s="49"/>
      <c r="AM181" s="49"/>
      <c r="AN181" s="48"/>
      <c r="AP181" s="47"/>
      <c r="AQ181" s="37">
        <v>9</v>
      </c>
      <c r="AR181" s="54">
        <f t="shared" si="49"/>
        <v>1.7337031900138689E-2</v>
      </c>
      <c r="AS181" s="48"/>
    </row>
    <row r="182" spans="2:45" s="1" customFormat="1" x14ac:dyDescent="0.25">
      <c r="B182" s="47"/>
      <c r="C182" s="37">
        <v>10</v>
      </c>
      <c r="D182" s="37"/>
      <c r="E182" s="35">
        <v>25</v>
      </c>
      <c r="F182" s="35">
        <v>29</v>
      </c>
      <c r="G182" s="35">
        <v>10</v>
      </c>
      <c r="H182" s="64">
        <f t="shared" si="41"/>
        <v>64</v>
      </c>
      <c r="I182" s="35"/>
      <c r="J182" s="35">
        <v>32</v>
      </c>
      <c r="K182" s="35">
        <v>3</v>
      </c>
      <c r="L182" s="35">
        <v>4</v>
      </c>
      <c r="M182" s="64">
        <f t="shared" si="42"/>
        <v>39</v>
      </c>
      <c r="N182" s="48"/>
      <c r="O182" s="35"/>
      <c r="P182" s="47"/>
      <c r="Q182" s="37">
        <v>10</v>
      </c>
      <c r="R182" s="37"/>
      <c r="S182" s="35">
        <v>27</v>
      </c>
      <c r="T182" s="35">
        <v>12</v>
      </c>
      <c r="U182" s="35">
        <v>22</v>
      </c>
      <c r="V182" s="64">
        <f t="shared" si="43"/>
        <v>61</v>
      </c>
      <c r="W182" s="35"/>
      <c r="X182" s="35">
        <v>2</v>
      </c>
      <c r="Y182" s="35">
        <v>26</v>
      </c>
      <c r="Z182" s="35">
        <v>9</v>
      </c>
      <c r="AA182" s="64">
        <f t="shared" si="44"/>
        <v>37</v>
      </c>
      <c r="AB182" s="48"/>
      <c r="AD182" s="47"/>
      <c r="AE182" s="37">
        <v>10</v>
      </c>
      <c r="AF182" s="49">
        <f t="shared" si="45"/>
        <v>0.62135922330097082</v>
      </c>
      <c r="AG182" s="49">
        <f t="shared" si="46"/>
        <v>0.37864077669902912</v>
      </c>
      <c r="AH182" s="35"/>
      <c r="AI182" s="49">
        <f t="shared" si="47"/>
        <v>0.62244897959183676</v>
      </c>
      <c r="AJ182" s="49">
        <f t="shared" si="48"/>
        <v>0.37755102040816324</v>
      </c>
      <c r="AK182" s="49"/>
      <c r="AL182" s="49"/>
      <c r="AM182" s="49"/>
      <c r="AN182" s="48"/>
      <c r="AP182" s="47"/>
      <c r="AQ182" s="37">
        <v>10</v>
      </c>
      <c r="AR182" s="54">
        <f t="shared" si="49"/>
        <v>1.0897562908659397E-3</v>
      </c>
      <c r="AS182" s="48"/>
    </row>
    <row r="183" spans="2:45" s="1" customFormat="1" x14ac:dyDescent="0.25">
      <c r="B183" s="47"/>
      <c r="C183" s="37">
        <v>11</v>
      </c>
      <c r="D183" s="37"/>
      <c r="E183" s="35">
        <v>14</v>
      </c>
      <c r="F183" s="35">
        <v>14</v>
      </c>
      <c r="G183" s="35">
        <v>12</v>
      </c>
      <c r="H183" s="64">
        <f t="shared" si="41"/>
        <v>40</v>
      </c>
      <c r="I183" s="35"/>
      <c r="J183" s="35">
        <v>19</v>
      </c>
      <c r="K183" s="35">
        <v>9</v>
      </c>
      <c r="L183" s="35">
        <v>35</v>
      </c>
      <c r="M183" s="64">
        <f t="shared" si="42"/>
        <v>63</v>
      </c>
      <c r="N183" s="48"/>
      <c r="O183" s="35"/>
      <c r="P183" s="47"/>
      <c r="Q183" s="37">
        <v>11</v>
      </c>
      <c r="R183" s="37"/>
      <c r="S183" s="35">
        <v>19</v>
      </c>
      <c r="T183" s="35">
        <v>7</v>
      </c>
      <c r="U183" s="35">
        <v>18</v>
      </c>
      <c r="V183" s="64">
        <f t="shared" si="43"/>
        <v>44</v>
      </c>
      <c r="W183" s="35"/>
      <c r="X183" s="35">
        <v>13</v>
      </c>
      <c r="Y183" s="35">
        <v>16</v>
      </c>
      <c r="Z183" s="35">
        <v>25</v>
      </c>
      <c r="AA183" s="64">
        <f t="shared" si="44"/>
        <v>54</v>
      </c>
      <c r="AB183" s="48"/>
      <c r="AD183" s="47"/>
      <c r="AE183" s="37">
        <v>11</v>
      </c>
      <c r="AF183" s="49">
        <f t="shared" si="45"/>
        <v>0.38834951456310679</v>
      </c>
      <c r="AG183" s="49">
        <f t="shared" si="46"/>
        <v>0.61165048543689315</v>
      </c>
      <c r="AH183" s="35"/>
      <c r="AI183" s="49">
        <f t="shared" si="47"/>
        <v>0.44897959183673469</v>
      </c>
      <c r="AJ183" s="49">
        <f t="shared" si="48"/>
        <v>0.55102040816326525</v>
      </c>
      <c r="AK183" s="49"/>
      <c r="AL183" s="49"/>
      <c r="AM183" s="49"/>
      <c r="AN183" s="48"/>
      <c r="AP183" s="47"/>
      <c r="AQ183" s="37">
        <v>11</v>
      </c>
      <c r="AR183" s="54">
        <f t="shared" si="49"/>
        <v>6.0630077273627903E-2</v>
      </c>
      <c r="AS183" s="48"/>
    </row>
    <row r="184" spans="2:45" s="1" customFormat="1" x14ac:dyDescent="0.25">
      <c r="B184" s="47"/>
      <c r="C184" s="37">
        <v>12</v>
      </c>
      <c r="D184" s="37"/>
      <c r="E184" s="35">
        <v>29</v>
      </c>
      <c r="F184" s="35">
        <v>9</v>
      </c>
      <c r="G184" s="35">
        <v>3</v>
      </c>
      <c r="H184" s="64">
        <f t="shared" si="41"/>
        <v>41</v>
      </c>
      <c r="I184" s="35"/>
      <c r="J184" s="35">
        <v>43</v>
      </c>
      <c r="K184" s="35">
        <v>4</v>
      </c>
      <c r="L184" s="35">
        <v>15</v>
      </c>
      <c r="M184" s="64">
        <f t="shared" si="42"/>
        <v>62</v>
      </c>
      <c r="N184" s="48"/>
      <c r="O184" s="35"/>
      <c r="P184" s="47"/>
      <c r="Q184" s="37">
        <v>12</v>
      </c>
      <c r="R184" s="37"/>
      <c r="S184" s="35">
        <v>18</v>
      </c>
      <c r="T184" s="35">
        <v>26</v>
      </c>
      <c r="U184" s="35">
        <v>3</v>
      </c>
      <c r="V184" s="64">
        <f t="shared" si="43"/>
        <v>47</v>
      </c>
      <c r="W184" s="35"/>
      <c r="X184" s="35">
        <v>12</v>
      </c>
      <c r="Y184" s="35">
        <v>11</v>
      </c>
      <c r="Z184" s="35">
        <v>28</v>
      </c>
      <c r="AA184" s="64">
        <f t="shared" si="44"/>
        <v>51</v>
      </c>
      <c r="AB184" s="48"/>
      <c r="AD184" s="47"/>
      <c r="AE184" s="37">
        <v>12</v>
      </c>
      <c r="AF184" s="49">
        <f t="shared" si="45"/>
        <v>0.39805825242718446</v>
      </c>
      <c r="AG184" s="49">
        <f t="shared" si="46"/>
        <v>0.60194174757281549</v>
      </c>
      <c r="AH184" s="35"/>
      <c r="AI184" s="49">
        <f t="shared" si="47"/>
        <v>0.47959183673469385</v>
      </c>
      <c r="AJ184" s="49">
        <f t="shared" si="48"/>
        <v>0.52040816326530615</v>
      </c>
      <c r="AK184" s="49"/>
      <c r="AL184" s="49"/>
      <c r="AM184" s="49"/>
      <c r="AN184" s="48"/>
      <c r="AP184" s="47"/>
      <c r="AQ184" s="37">
        <v>12</v>
      </c>
      <c r="AR184" s="54">
        <f t="shared" si="49"/>
        <v>8.1533584307509399E-2</v>
      </c>
      <c r="AS184" s="48"/>
    </row>
    <row r="185" spans="2:45" s="1" customFormat="1" x14ac:dyDescent="0.25">
      <c r="B185" s="47"/>
      <c r="C185" s="37">
        <v>13</v>
      </c>
      <c r="D185" s="37"/>
      <c r="E185" s="35">
        <v>60</v>
      </c>
      <c r="F185" s="35">
        <v>2</v>
      </c>
      <c r="G185" s="35">
        <v>30</v>
      </c>
      <c r="H185" s="64">
        <f t="shared" si="41"/>
        <v>92</v>
      </c>
      <c r="I185" s="35"/>
      <c r="J185" s="35">
        <v>5</v>
      </c>
      <c r="K185" s="35">
        <v>3</v>
      </c>
      <c r="L185" s="35">
        <v>3</v>
      </c>
      <c r="M185" s="64">
        <f t="shared" si="42"/>
        <v>11</v>
      </c>
      <c r="N185" s="48"/>
      <c r="O185" s="35"/>
      <c r="P185" s="47"/>
      <c r="Q185" s="37">
        <v>13</v>
      </c>
      <c r="R185" s="37"/>
      <c r="S185" s="35">
        <v>59</v>
      </c>
      <c r="T185" s="35">
        <v>28</v>
      </c>
      <c r="U185" s="35">
        <v>0</v>
      </c>
      <c r="V185" s="64">
        <f t="shared" si="43"/>
        <v>87</v>
      </c>
      <c r="W185" s="35"/>
      <c r="X185" s="35">
        <v>5</v>
      </c>
      <c r="Y185" s="35">
        <v>3</v>
      </c>
      <c r="Z185" s="35">
        <v>3</v>
      </c>
      <c r="AA185" s="64">
        <f t="shared" si="44"/>
        <v>11</v>
      </c>
      <c r="AB185" s="48"/>
      <c r="AD185" s="47"/>
      <c r="AE185" s="37">
        <v>13</v>
      </c>
      <c r="AF185" s="49">
        <f t="shared" si="45"/>
        <v>0.89320388349514568</v>
      </c>
      <c r="AG185" s="49">
        <f t="shared" si="46"/>
        <v>0.10679611650485436</v>
      </c>
      <c r="AH185" s="35"/>
      <c r="AI185" s="49">
        <f t="shared" si="47"/>
        <v>0.88775510204081631</v>
      </c>
      <c r="AJ185" s="49">
        <f t="shared" si="48"/>
        <v>0.11224489795918367</v>
      </c>
      <c r="AK185" s="49"/>
      <c r="AL185" s="49"/>
      <c r="AM185" s="49"/>
      <c r="AN185" s="48"/>
      <c r="AP185" s="47"/>
      <c r="AQ185" s="37">
        <v>13</v>
      </c>
      <c r="AR185" s="54">
        <f t="shared" si="49"/>
        <v>-5.4487814543293656E-3</v>
      </c>
      <c r="AS185" s="48"/>
    </row>
    <row r="186" spans="2:45" s="1" customFormat="1" x14ac:dyDescent="0.25">
      <c r="B186" s="47"/>
      <c r="C186" s="37">
        <v>14</v>
      </c>
      <c r="D186" s="37"/>
      <c r="E186" s="35">
        <v>45</v>
      </c>
      <c r="F186" s="35">
        <v>24</v>
      </c>
      <c r="G186" s="35">
        <v>18</v>
      </c>
      <c r="H186" s="64">
        <f t="shared" si="41"/>
        <v>87</v>
      </c>
      <c r="I186" s="35"/>
      <c r="J186" s="35">
        <v>5</v>
      </c>
      <c r="K186" s="35">
        <v>4</v>
      </c>
      <c r="L186" s="35">
        <v>7</v>
      </c>
      <c r="M186" s="64">
        <f t="shared" si="42"/>
        <v>16</v>
      </c>
      <c r="N186" s="48"/>
      <c r="O186" s="35"/>
      <c r="P186" s="47"/>
      <c r="Q186" s="37">
        <v>14</v>
      </c>
      <c r="R186" s="37"/>
      <c r="S186" s="35">
        <v>41</v>
      </c>
      <c r="T186" s="35">
        <v>12</v>
      </c>
      <c r="U186" s="35">
        <v>29</v>
      </c>
      <c r="V186" s="64">
        <f t="shared" si="43"/>
        <v>82</v>
      </c>
      <c r="W186" s="35"/>
      <c r="X186" s="35">
        <v>4</v>
      </c>
      <c r="Y186" s="35">
        <v>7</v>
      </c>
      <c r="Z186" s="35">
        <v>5</v>
      </c>
      <c r="AA186" s="64">
        <f t="shared" si="44"/>
        <v>16</v>
      </c>
      <c r="AB186" s="48"/>
      <c r="AD186" s="47"/>
      <c r="AE186" s="37">
        <v>14</v>
      </c>
      <c r="AF186" s="49">
        <f t="shared" si="45"/>
        <v>0.84466019417475724</v>
      </c>
      <c r="AG186" s="49">
        <f t="shared" si="46"/>
        <v>0.1553398058252427</v>
      </c>
      <c r="AH186" s="35"/>
      <c r="AI186" s="49">
        <f t="shared" si="47"/>
        <v>0.83673469387755106</v>
      </c>
      <c r="AJ186" s="49">
        <f t="shared" si="48"/>
        <v>0.16326530612244897</v>
      </c>
      <c r="AK186" s="49"/>
      <c r="AL186" s="49"/>
      <c r="AM186" s="49"/>
      <c r="AN186" s="48"/>
      <c r="AP186" s="47"/>
      <c r="AQ186" s="37">
        <v>14</v>
      </c>
      <c r="AR186" s="54">
        <f t="shared" si="49"/>
        <v>-7.9255002972061783E-3</v>
      </c>
      <c r="AS186" s="48"/>
    </row>
    <row r="187" spans="2:45" s="1" customFormat="1" x14ac:dyDescent="0.25">
      <c r="B187" s="47"/>
      <c r="C187" s="37">
        <v>15</v>
      </c>
      <c r="D187" s="37"/>
      <c r="E187" s="35">
        <v>23</v>
      </c>
      <c r="F187" s="35">
        <v>10</v>
      </c>
      <c r="G187" s="35">
        <v>10</v>
      </c>
      <c r="H187" s="64">
        <f t="shared" si="41"/>
        <v>43</v>
      </c>
      <c r="I187" s="35"/>
      <c r="J187" s="35">
        <v>42</v>
      </c>
      <c r="K187" s="35">
        <v>4</v>
      </c>
      <c r="L187" s="35">
        <v>14</v>
      </c>
      <c r="M187" s="64">
        <f t="shared" si="42"/>
        <v>60</v>
      </c>
      <c r="N187" s="48"/>
      <c r="O187" s="35"/>
      <c r="P187" s="47"/>
      <c r="Q187" s="37">
        <v>15</v>
      </c>
      <c r="R187" s="37"/>
      <c r="S187" s="35">
        <v>12</v>
      </c>
      <c r="T187" s="35">
        <v>26</v>
      </c>
      <c r="U187" s="35">
        <v>9</v>
      </c>
      <c r="V187" s="64">
        <f t="shared" si="43"/>
        <v>47</v>
      </c>
      <c r="W187" s="35"/>
      <c r="X187" s="35">
        <v>14</v>
      </c>
      <c r="Y187" s="35">
        <v>10</v>
      </c>
      <c r="Z187" s="35">
        <v>27</v>
      </c>
      <c r="AA187" s="64">
        <f t="shared" si="44"/>
        <v>51</v>
      </c>
      <c r="AB187" s="48"/>
      <c r="AD187" s="47"/>
      <c r="AE187" s="37">
        <v>15</v>
      </c>
      <c r="AF187" s="49">
        <f t="shared" si="45"/>
        <v>0.41747572815533979</v>
      </c>
      <c r="AG187" s="49">
        <f t="shared" si="46"/>
        <v>0.58252427184466016</v>
      </c>
      <c r="AH187" s="35"/>
      <c r="AI187" s="49">
        <f t="shared" si="47"/>
        <v>0.47959183673469385</v>
      </c>
      <c r="AJ187" s="49">
        <f t="shared" si="48"/>
        <v>0.52040816326530615</v>
      </c>
      <c r="AK187" s="49"/>
      <c r="AL187" s="49"/>
      <c r="AM187" s="49"/>
      <c r="AN187" s="48"/>
      <c r="AP187" s="47"/>
      <c r="AQ187" s="37">
        <v>15</v>
      </c>
      <c r="AR187" s="54">
        <f t="shared" si="49"/>
        <v>6.2116108579354068E-2</v>
      </c>
      <c r="AS187" s="48"/>
    </row>
    <row r="188" spans="2:45" s="1" customFormat="1" x14ac:dyDescent="0.25">
      <c r="B188" s="47"/>
      <c r="C188" s="37">
        <v>16</v>
      </c>
      <c r="D188" s="37"/>
      <c r="E188" s="35">
        <v>13</v>
      </c>
      <c r="F188" s="35">
        <v>41</v>
      </c>
      <c r="G188" s="35">
        <v>8</v>
      </c>
      <c r="H188" s="64">
        <f t="shared" si="41"/>
        <v>62</v>
      </c>
      <c r="I188" s="35"/>
      <c r="J188" s="35">
        <v>26</v>
      </c>
      <c r="K188" s="35">
        <v>8</v>
      </c>
      <c r="L188" s="35">
        <v>7</v>
      </c>
      <c r="M188" s="64">
        <f t="shared" si="42"/>
        <v>41</v>
      </c>
      <c r="N188" s="48"/>
      <c r="O188" s="35"/>
      <c r="P188" s="47"/>
      <c r="Q188" s="37">
        <v>16</v>
      </c>
      <c r="R188" s="37"/>
      <c r="S188" s="35">
        <v>17</v>
      </c>
      <c r="T188" s="35">
        <v>30</v>
      </c>
      <c r="U188" s="35">
        <v>15</v>
      </c>
      <c r="V188" s="64">
        <f t="shared" si="43"/>
        <v>62</v>
      </c>
      <c r="W188" s="35"/>
      <c r="X188" s="35">
        <v>10</v>
      </c>
      <c r="Y188" s="35">
        <v>15</v>
      </c>
      <c r="Z188" s="35">
        <v>11</v>
      </c>
      <c r="AA188" s="64">
        <f t="shared" si="44"/>
        <v>36</v>
      </c>
      <c r="AB188" s="48"/>
      <c r="AD188" s="47"/>
      <c r="AE188" s="37">
        <v>16</v>
      </c>
      <c r="AF188" s="49">
        <f t="shared" si="45"/>
        <v>0.60194174757281549</v>
      </c>
      <c r="AG188" s="49">
        <f t="shared" si="46"/>
        <v>0.39805825242718446</v>
      </c>
      <c r="AH188" s="35"/>
      <c r="AI188" s="49">
        <f t="shared" si="47"/>
        <v>0.63265306122448983</v>
      </c>
      <c r="AJ188" s="49">
        <f t="shared" si="48"/>
        <v>0.36734693877551022</v>
      </c>
      <c r="AK188" s="49"/>
      <c r="AL188" s="49"/>
      <c r="AM188" s="49"/>
      <c r="AN188" s="48"/>
      <c r="AP188" s="47"/>
      <c r="AQ188" s="37">
        <v>16</v>
      </c>
      <c r="AR188" s="54">
        <f t="shared" si="49"/>
        <v>3.0711313651674343E-2</v>
      </c>
      <c r="AS188" s="48"/>
    </row>
    <row r="189" spans="2:45" s="1" customFormat="1" x14ac:dyDescent="0.25">
      <c r="B189" s="47"/>
      <c r="C189" s="37">
        <v>17</v>
      </c>
      <c r="D189" s="37"/>
      <c r="E189" s="35">
        <v>14</v>
      </c>
      <c r="F189" s="35">
        <v>8</v>
      </c>
      <c r="G189" s="35">
        <v>16</v>
      </c>
      <c r="H189" s="64">
        <f t="shared" si="41"/>
        <v>38</v>
      </c>
      <c r="I189" s="35"/>
      <c r="J189" s="35">
        <v>17</v>
      </c>
      <c r="K189" s="35">
        <v>23</v>
      </c>
      <c r="L189" s="35">
        <v>25</v>
      </c>
      <c r="M189" s="64">
        <f t="shared" si="42"/>
        <v>65</v>
      </c>
      <c r="N189" s="48"/>
      <c r="O189" s="35"/>
      <c r="P189" s="47"/>
      <c r="Q189" s="37">
        <v>17</v>
      </c>
      <c r="R189" s="37"/>
      <c r="S189" s="35">
        <v>11</v>
      </c>
      <c r="T189" s="35">
        <v>16</v>
      </c>
      <c r="U189" s="35">
        <v>12</v>
      </c>
      <c r="V189" s="64">
        <f t="shared" si="43"/>
        <v>39</v>
      </c>
      <c r="W189" s="35"/>
      <c r="X189" s="35">
        <v>16</v>
      </c>
      <c r="Y189" s="35">
        <v>20</v>
      </c>
      <c r="Z189" s="35">
        <v>23</v>
      </c>
      <c r="AA189" s="64">
        <f t="shared" si="44"/>
        <v>59</v>
      </c>
      <c r="AB189" s="48"/>
      <c r="AD189" s="47"/>
      <c r="AE189" s="37">
        <v>17</v>
      </c>
      <c r="AF189" s="49">
        <f t="shared" si="45"/>
        <v>0.36893203883495146</v>
      </c>
      <c r="AG189" s="49">
        <f t="shared" si="46"/>
        <v>0.6310679611650486</v>
      </c>
      <c r="AH189" s="35"/>
      <c r="AI189" s="49">
        <f t="shared" si="47"/>
        <v>0.39795918367346939</v>
      </c>
      <c r="AJ189" s="49">
        <f t="shared" si="48"/>
        <v>0.60204081632653061</v>
      </c>
      <c r="AK189" s="49"/>
      <c r="AL189" s="49"/>
      <c r="AM189" s="49"/>
      <c r="AN189" s="48"/>
      <c r="AP189" s="47"/>
      <c r="AQ189" s="37">
        <v>17</v>
      </c>
      <c r="AR189" s="54">
        <f t="shared" si="49"/>
        <v>2.9027144838517926E-2</v>
      </c>
      <c r="AS189" s="48"/>
    </row>
    <row r="190" spans="2:45" s="1" customFormat="1" x14ac:dyDescent="0.25">
      <c r="B190" s="47"/>
      <c r="C190" s="37">
        <v>18</v>
      </c>
      <c r="D190" s="37"/>
      <c r="E190" s="35">
        <v>48</v>
      </c>
      <c r="F190" s="35">
        <v>6</v>
      </c>
      <c r="G190" s="35">
        <v>22</v>
      </c>
      <c r="H190" s="64">
        <f t="shared" si="41"/>
        <v>76</v>
      </c>
      <c r="I190" s="35"/>
      <c r="J190" s="35">
        <v>19</v>
      </c>
      <c r="K190" s="35">
        <v>3</v>
      </c>
      <c r="L190" s="35">
        <v>5</v>
      </c>
      <c r="M190" s="64">
        <f t="shared" si="42"/>
        <v>27</v>
      </c>
      <c r="N190" s="48"/>
      <c r="O190" s="35"/>
      <c r="P190" s="47"/>
      <c r="Q190" s="37">
        <v>18</v>
      </c>
      <c r="R190" s="37"/>
      <c r="S190" s="35">
        <v>29</v>
      </c>
      <c r="T190" s="35">
        <v>38</v>
      </c>
      <c r="U190" s="35">
        <v>3</v>
      </c>
      <c r="V190" s="64">
        <f t="shared" si="43"/>
        <v>70</v>
      </c>
      <c r="W190" s="35"/>
      <c r="X190" s="35">
        <v>17</v>
      </c>
      <c r="Y190" s="35">
        <v>4</v>
      </c>
      <c r="Z190" s="35">
        <v>7</v>
      </c>
      <c r="AA190" s="64">
        <f t="shared" si="44"/>
        <v>28</v>
      </c>
      <c r="AB190" s="48"/>
      <c r="AD190" s="47"/>
      <c r="AE190" s="37">
        <v>18</v>
      </c>
      <c r="AF190" s="49">
        <f t="shared" si="45"/>
        <v>0.73786407766990292</v>
      </c>
      <c r="AG190" s="49">
        <f t="shared" si="46"/>
        <v>0.26213592233009708</v>
      </c>
      <c r="AH190" s="35"/>
      <c r="AI190" s="49">
        <f t="shared" si="47"/>
        <v>0.7142857142857143</v>
      </c>
      <c r="AJ190" s="49">
        <f t="shared" si="48"/>
        <v>0.2857142857142857</v>
      </c>
      <c r="AK190" s="49"/>
      <c r="AL190" s="49"/>
      <c r="AM190" s="49"/>
      <c r="AN190" s="48"/>
      <c r="AP190" s="47"/>
      <c r="AQ190" s="37">
        <v>18</v>
      </c>
      <c r="AR190" s="54">
        <f t="shared" si="49"/>
        <v>-2.3578363384188616E-2</v>
      </c>
      <c r="AS190" s="48"/>
    </row>
    <row r="191" spans="2:45" s="1" customFormat="1" x14ac:dyDescent="0.25">
      <c r="B191" s="47"/>
      <c r="C191" s="37">
        <v>19</v>
      </c>
      <c r="D191" s="37"/>
      <c r="E191" s="35">
        <v>32</v>
      </c>
      <c r="F191" s="35">
        <v>17</v>
      </c>
      <c r="G191" s="35">
        <v>15</v>
      </c>
      <c r="H191" s="64">
        <f t="shared" si="41"/>
        <v>64</v>
      </c>
      <c r="I191" s="35"/>
      <c r="J191" s="35">
        <v>19</v>
      </c>
      <c r="K191" s="35">
        <v>6</v>
      </c>
      <c r="L191" s="35">
        <v>14</v>
      </c>
      <c r="M191" s="64">
        <f t="shared" si="42"/>
        <v>39</v>
      </c>
      <c r="N191" s="48"/>
      <c r="O191" s="35"/>
      <c r="P191" s="47"/>
      <c r="Q191" s="37">
        <v>19</v>
      </c>
      <c r="R191" s="37"/>
      <c r="S191" s="35">
        <v>13</v>
      </c>
      <c r="T191" s="35">
        <v>40</v>
      </c>
      <c r="U191" s="35">
        <v>4</v>
      </c>
      <c r="V191" s="64">
        <f>SUM(S191:U191)</f>
        <v>57</v>
      </c>
      <c r="W191" s="35"/>
      <c r="X191" s="35">
        <v>15</v>
      </c>
      <c r="Y191" s="35">
        <v>10</v>
      </c>
      <c r="Z191" s="35">
        <v>16</v>
      </c>
      <c r="AA191" s="64">
        <f t="shared" si="44"/>
        <v>41</v>
      </c>
      <c r="AB191" s="48"/>
      <c r="AD191" s="47"/>
      <c r="AE191" s="37">
        <v>19</v>
      </c>
      <c r="AF191" s="49">
        <f t="shared" si="45"/>
        <v>0.62135922330097082</v>
      </c>
      <c r="AG191" s="49">
        <f t="shared" si="46"/>
        <v>0.37864077669902912</v>
      </c>
      <c r="AH191" s="35"/>
      <c r="AI191" s="49">
        <f t="shared" si="47"/>
        <v>0.58163265306122447</v>
      </c>
      <c r="AJ191" s="49">
        <f t="shared" si="48"/>
        <v>0.41836734693877553</v>
      </c>
      <c r="AK191" s="49"/>
      <c r="AL191" s="49"/>
      <c r="AM191" s="49"/>
      <c r="AN191" s="48"/>
      <c r="AP191" s="47"/>
      <c r="AQ191" s="37">
        <v>19</v>
      </c>
      <c r="AR191" s="54">
        <f t="shared" si="49"/>
        <v>-3.972657023974635E-2</v>
      </c>
      <c r="AS191" s="48"/>
    </row>
    <row r="192" spans="2:45" s="1" customFormat="1" x14ac:dyDescent="0.25">
      <c r="B192" s="47"/>
      <c r="C192" s="37">
        <v>20</v>
      </c>
      <c r="D192" s="37"/>
      <c r="E192" s="35">
        <v>31</v>
      </c>
      <c r="F192" s="35">
        <v>23</v>
      </c>
      <c r="G192" s="35">
        <v>12</v>
      </c>
      <c r="H192" s="64">
        <f t="shared" si="41"/>
        <v>66</v>
      </c>
      <c r="I192" s="35"/>
      <c r="J192" s="35">
        <v>18</v>
      </c>
      <c r="K192" s="35">
        <v>8</v>
      </c>
      <c r="L192" s="35">
        <v>11</v>
      </c>
      <c r="M192" s="64">
        <f t="shared" si="42"/>
        <v>37</v>
      </c>
      <c r="N192" s="48"/>
      <c r="O192" s="35"/>
      <c r="P192" s="47"/>
      <c r="Q192" s="37">
        <v>20</v>
      </c>
      <c r="R192" s="37"/>
      <c r="S192" s="35">
        <v>6</v>
      </c>
      <c r="T192" s="35">
        <v>72</v>
      </c>
      <c r="U192" s="35">
        <v>1</v>
      </c>
      <c r="V192" s="64">
        <f t="shared" ref="V192" si="50">SUM(S192:U192)</f>
        <v>79</v>
      </c>
      <c r="W192" s="35"/>
      <c r="X192" s="35">
        <v>14</v>
      </c>
      <c r="Y192" s="35">
        <v>3</v>
      </c>
      <c r="Z192" s="35">
        <v>2</v>
      </c>
      <c r="AA192" s="64">
        <f t="shared" si="44"/>
        <v>19</v>
      </c>
      <c r="AB192" s="48"/>
      <c r="AD192" s="47"/>
      <c r="AE192" s="37">
        <v>20</v>
      </c>
      <c r="AF192" s="49">
        <f t="shared" si="45"/>
        <v>0.64077669902912626</v>
      </c>
      <c r="AG192" s="49">
        <f t="shared" si="46"/>
        <v>0.35922330097087379</v>
      </c>
      <c r="AH192" s="35"/>
      <c r="AI192" s="49">
        <f t="shared" si="47"/>
        <v>0.80612244897959184</v>
      </c>
      <c r="AJ192" s="49">
        <f t="shared" si="48"/>
        <v>0.19387755102040816</v>
      </c>
      <c r="AK192" s="49"/>
      <c r="AL192" s="49"/>
      <c r="AM192" s="49"/>
      <c r="AN192" s="48"/>
      <c r="AP192" s="47"/>
      <c r="AQ192" s="37">
        <v>20</v>
      </c>
      <c r="AR192" s="54">
        <f t="shared" si="49"/>
        <v>0.16534574995046558</v>
      </c>
      <c r="AS192" s="48"/>
    </row>
    <row r="193" spans="2:45" s="1" customFormat="1" ht="15.75" thickBot="1" x14ac:dyDescent="0.3">
      <c r="B193" s="50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51"/>
      <c r="P193" s="50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51"/>
      <c r="AD193" s="50"/>
      <c r="AE193" s="43"/>
      <c r="AF193" s="43"/>
      <c r="AG193" s="43"/>
      <c r="AH193" s="43"/>
      <c r="AI193" s="43"/>
      <c r="AJ193" s="43"/>
      <c r="AK193" s="43"/>
      <c r="AL193" s="43"/>
      <c r="AM193" s="43"/>
      <c r="AN193" s="51"/>
      <c r="AP193" s="50"/>
      <c r="AQ193" s="43"/>
      <c r="AR193" s="43"/>
      <c r="AS193" s="51"/>
    </row>
    <row r="194" spans="2:45" s="1" customFormat="1" ht="15.75" thickTop="1" x14ac:dyDescent="0.25">
      <c r="W194"/>
      <c r="X194"/>
      <c r="Y194"/>
      <c r="Z194"/>
      <c r="AA194"/>
      <c r="AB194"/>
      <c r="AD194"/>
      <c r="AE194"/>
      <c r="AF194"/>
      <c r="AG194"/>
      <c r="AH194"/>
      <c r="AI194"/>
      <c r="AJ194"/>
      <c r="AK194"/>
      <c r="AL194"/>
      <c r="AM194"/>
      <c r="AN194"/>
    </row>
    <row r="195" spans="2:45" s="1" customFormat="1" x14ac:dyDescent="0.25">
      <c r="AR195" s="103"/>
    </row>
    <row r="196" spans="2:45" s="1" customFormat="1" x14ac:dyDescent="0.25"/>
    <row r="197" spans="2:45" s="1" customFormat="1" x14ac:dyDescent="0.25"/>
    <row r="198" spans="2:45" s="1" customFormat="1" x14ac:dyDescent="0.25"/>
    <row r="199" spans="2:45" s="1" customFormat="1" ht="18.75" x14ac:dyDescent="0.3">
      <c r="B199" s="30"/>
      <c r="C199" s="72" t="s">
        <v>142</v>
      </c>
      <c r="D199" s="72"/>
      <c r="E199" s="72"/>
      <c r="F199" s="72"/>
      <c r="G199" s="72"/>
      <c r="H199" s="72"/>
      <c r="I199" s="72"/>
      <c r="J199" s="72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</row>
    <row r="200" spans="2:45" s="1" customFormat="1" ht="18.75" x14ac:dyDescent="0.3">
      <c r="B200" s="30"/>
      <c r="C200" s="72" t="s">
        <v>146</v>
      </c>
      <c r="D200" s="72"/>
      <c r="E200" s="72"/>
      <c r="F200" s="72"/>
      <c r="G200" s="72"/>
      <c r="H200" s="72"/>
      <c r="I200" s="72"/>
      <c r="J200" s="72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</row>
    <row r="201" spans="2:45" s="1" customFormat="1" ht="19.5" thickBot="1" x14ac:dyDescent="0.35">
      <c r="B201" s="30"/>
      <c r="C201" s="30"/>
      <c r="D201" s="72"/>
      <c r="E201" s="72"/>
      <c r="F201" s="72"/>
      <c r="G201" s="72"/>
      <c r="H201" s="72"/>
      <c r="I201" s="72"/>
      <c r="J201" s="72"/>
      <c r="K201" s="72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</row>
    <row r="202" spans="2:45" s="1" customFormat="1" ht="15.75" thickTop="1" x14ac:dyDescent="0.25">
      <c r="B202" s="44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6"/>
      <c r="U202" s="35"/>
      <c r="V202" s="44"/>
      <c r="W202" s="45"/>
      <c r="X202" s="45"/>
      <c r="Y202" s="45"/>
      <c r="Z202" s="45"/>
      <c r="AA202" s="45"/>
      <c r="AB202" s="45"/>
      <c r="AC202" s="45"/>
      <c r="AD202" s="45"/>
      <c r="AE202" s="45"/>
      <c r="AF202" s="46"/>
      <c r="AG202" s="35"/>
      <c r="AH202" s="44"/>
      <c r="AI202" s="45"/>
      <c r="AJ202" s="45"/>
      <c r="AK202" s="45"/>
      <c r="AL202" s="45"/>
      <c r="AM202" s="45"/>
      <c r="AN202" s="46"/>
    </row>
    <row r="203" spans="2:45" s="1" customFormat="1" ht="18.75" x14ac:dyDescent="0.3">
      <c r="B203" s="47"/>
      <c r="C203" s="70" t="s">
        <v>93</v>
      </c>
      <c r="D203" s="70"/>
      <c r="E203" s="70"/>
      <c r="F203" s="70"/>
      <c r="G203" s="70"/>
      <c r="H203" s="70"/>
      <c r="I203" s="40"/>
      <c r="J203" s="40"/>
      <c r="K203" s="35"/>
      <c r="L203" s="35"/>
      <c r="M203" s="35"/>
      <c r="N203" s="35"/>
      <c r="O203" s="35"/>
      <c r="P203" s="40"/>
      <c r="Q203" s="40"/>
      <c r="R203" s="40"/>
      <c r="S203" s="40"/>
      <c r="T203" s="48"/>
      <c r="U203" s="35"/>
      <c r="V203" s="47"/>
      <c r="W203" s="70" t="s">
        <v>94</v>
      </c>
      <c r="X203" s="70"/>
      <c r="Y203" s="70"/>
      <c r="Z203" s="40"/>
      <c r="AA203" s="35"/>
      <c r="AB203" s="35"/>
      <c r="AC203" s="35"/>
      <c r="AD203" s="35"/>
      <c r="AE203" s="35"/>
      <c r="AF203" s="48"/>
      <c r="AG203" s="35"/>
      <c r="AH203" s="47"/>
      <c r="AI203" s="70" t="s">
        <v>95</v>
      </c>
      <c r="AJ203" s="74"/>
      <c r="AK203" s="74"/>
      <c r="AL203" s="74"/>
      <c r="AM203" s="74"/>
      <c r="AN203" s="48"/>
    </row>
    <row r="204" spans="2:45" s="1" customFormat="1" x14ac:dyDescent="0.25">
      <c r="B204" s="47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48"/>
      <c r="U204" s="35"/>
      <c r="V204" s="47"/>
      <c r="W204" s="35"/>
      <c r="X204" s="35"/>
      <c r="Y204" s="35"/>
      <c r="Z204" s="35"/>
      <c r="AA204" s="35"/>
      <c r="AB204" s="35"/>
      <c r="AC204" s="35"/>
      <c r="AD204" s="35"/>
      <c r="AE204" s="35"/>
      <c r="AF204" s="48"/>
      <c r="AG204" s="35"/>
      <c r="AH204" s="47"/>
      <c r="AI204" s="35"/>
      <c r="AJ204" s="35"/>
      <c r="AK204" s="35"/>
      <c r="AL204" s="35"/>
      <c r="AM204" s="35"/>
      <c r="AN204" s="48"/>
    </row>
    <row r="205" spans="2:45" s="1" customFormat="1" ht="15.75" thickBot="1" x14ac:dyDescent="0.3">
      <c r="B205" s="47"/>
      <c r="C205" s="43"/>
      <c r="D205" s="43" t="s">
        <v>91</v>
      </c>
      <c r="E205" s="43" t="s">
        <v>138</v>
      </c>
      <c r="F205" s="43"/>
      <c r="G205" s="43"/>
      <c r="H205" s="43"/>
      <c r="I205" s="43"/>
      <c r="J205" s="43"/>
      <c r="K205" s="35"/>
      <c r="L205" s="43"/>
      <c r="M205" s="43" t="s">
        <v>92</v>
      </c>
      <c r="N205" s="43" t="s">
        <v>138</v>
      </c>
      <c r="O205" s="43"/>
      <c r="P205" s="43"/>
      <c r="Q205" s="43"/>
      <c r="R205" s="43"/>
      <c r="S205" s="43"/>
      <c r="T205" s="48"/>
      <c r="U205" s="35"/>
      <c r="V205" s="47"/>
      <c r="W205" s="43"/>
      <c r="X205" s="43" t="s">
        <v>91</v>
      </c>
      <c r="Y205" s="43" t="s">
        <v>138</v>
      </c>
      <c r="Z205" s="43"/>
      <c r="AA205" s="35"/>
      <c r="AB205" s="43"/>
      <c r="AC205" s="43" t="s">
        <v>92</v>
      </c>
      <c r="AD205" s="43" t="s">
        <v>138</v>
      </c>
      <c r="AE205" s="43"/>
      <c r="AF205" s="48"/>
      <c r="AG205" s="35"/>
      <c r="AH205" s="47"/>
      <c r="AI205" s="35"/>
      <c r="AJ205" s="35"/>
      <c r="AK205" s="35"/>
      <c r="AL205" s="35"/>
      <c r="AM205" s="35"/>
      <c r="AN205" s="48"/>
    </row>
    <row r="206" spans="2:45" s="1" customFormat="1" ht="16.5" thickTop="1" x14ac:dyDescent="0.25">
      <c r="B206" s="47"/>
      <c r="C206" s="39" t="s">
        <v>84</v>
      </c>
      <c r="D206" s="73" t="s">
        <v>87</v>
      </c>
      <c r="E206" s="73" t="s">
        <v>88</v>
      </c>
      <c r="F206" s="73" t="s">
        <v>5</v>
      </c>
      <c r="G206" s="73" t="s">
        <v>132</v>
      </c>
      <c r="H206" s="73" t="s">
        <v>133</v>
      </c>
      <c r="I206" s="73" t="s">
        <v>134</v>
      </c>
      <c r="J206" s="73" t="s">
        <v>135</v>
      </c>
      <c r="K206" s="35"/>
      <c r="L206" s="39" t="s">
        <v>84</v>
      </c>
      <c r="M206" s="73" t="s">
        <v>87</v>
      </c>
      <c r="N206" s="73" t="s">
        <v>88</v>
      </c>
      <c r="O206" s="73" t="s">
        <v>4</v>
      </c>
      <c r="P206" s="73" t="s">
        <v>136</v>
      </c>
      <c r="Q206" s="73" t="s">
        <v>137</v>
      </c>
      <c r="R206" s="73" t="s">
        <v>134</v>
      </c>
      <c r="S206" s="73" t="s">
        <v>135</v>
      </c>
      <c r="T206" s="48"/>
      <c r="U206" s="35"/>
      <c r="V206" s="47"/>
      <c r="W206" s="39" t="s">
        <v>84</v>
      </c>
      <c r="X206" s="73" t="s">
        <v>87</v>
      </c>
      <c r="Y206" s="73" t="s">
        <v>88</v>
      </c>
      <c r="Z206" s="73" t="s">
        <v>5</v>
      </c>
      <c r="AA206" s="36"/>
      <c r="AB206" s="39" t="s">
        <v>84</v>
      </c>
      <c r="AC206" s="73" t="s">
        <v>87</v>
      </c>
      <c r="AD206" s="73" t="s">
        <v>88</v>
      </c>
      <c r="AE206" s="73" t="s">
        <v>4</v>
      </c>
      <c r="AF206" s="48"/>
      <c r="AG206" s="35"/>
      <c r="AH206" s="47"/>
      <c r="AI206" s="39" t="s">
        <v>84</v>
      </c>
      <c r="AJ206" s="75" t="s">
        <v>96</v>
      </c>
      <c r="AK206" s="75" t="s">
        <v>97</v>
      </c>
      <c r="AL206" s="35"/>
      <c r="AM206" s="35"/>
      <c r="AN206" s="48"/>
    </row>
    <row r="207" spans="2:45" s="1" customFormat="1" x14ac:dyDescent="0.25">
      <c r="B207" s="47"/>
      <c r="C207" s="37" t="s">
        <v>140</v>
      </c>
      <c r="D207" s="1">
        <v>7</v>
      </c>
      <c r="E207" s="1">
        <v>78</v>
      </c>
      <c r="F207" s="1">
        <v>1</v>
      </c>
      <c r="G207" s="1">
        <v>13</v>
      </c>
      <c r="H207" s="1">
        <v>1</v>
      </c>
      <c r="I207" s="1">
        <v>0</v>
      </c>
      <c r="J207" s="1">
        <v>0</v>
      </c>
      <c r="K207" s="35"/>
      <c r="L207" s="37" t="s">
        <v>140</v>
      </c>
      <c r="M207" s="1">
        <v>81</v>
      </c>
      <c r="N207" s="1">
        <v>12</v>
      </c>
      <c r="O207" s="1">
        <v>1</v>
      </c>
      <c r="P207" s="1">
        <v>0</v>
      </c>
      <c r="Q207" s="1">
        <v>5</v>
      </c>
      <c r="S207" s="1">
        <v>0</v>
      </c>
      <c r="T207" s="48"/>
      <c r="U207" s="35"/>
      <c r="V207" s="47"/>
      <c r="W207" s="37" t="s">
        <v>140</v>
      </c>
      <c r="X207" s="49">
        <f>D207/(D207+E207+F207+G207+H207+I207+J207)</f>
        <v>7.0000000000000007E-2</v>
      </c>
      <c r="Y207" s="49">
        <f>E207/(E207+D207+F207+G207+H207+I207+J207)</f>
        <v>0.78</v>
      </c>
      <c r="Z207" s="49">
        <f>F207/(F207+D207+G207+H207+I207+J207+E207)</f>
        <v>0.01</v>
      </c>
      <c r="AA207" s="35"/>
      <c r="AB207" s="37" t="s">
        <v>140</v>
      </c>
      <c r="AC207" s="49">
        <f>M207/(R207+S207+Q207+P207+M207+N207+O207)</f>
        <v>0.81818181818181823</v>
      </c>
      <c r="AD207" s="49">
        <f>N207/(S207+M207+R207+Q207+N207+O207+P207)</f>
        <v>0.12121212121212122</v>
      </c>
      <c r="AE207" s="49">
        <f>O207/(M207+N207+S207+R207+O207+P207+Q207)</f>
        <v>1.0101010101010102E-2</v>
      </c>
      <c r="AF207" s="48"/>
      <c r="AG207" s="35"/>
      <c r="AH207" s="47"/>
      <c r="AI207" s="37" t="s">
        <v>140</v>
      </c>
      <c r="AJ207" s="54">
        <f>AC207-X207</f>
        <v>0.74818181818181828</v>
      </c>
      <c r="AK207" s="54">
        <f>Y207-AD207</f>
        <v>0.65878787878787881</v>
      </c>
      <c r="AL207" s="35"/>
      <c r="AM207" s="35"/>
      <c r="AN207" s="48"/>
    </row>
    <row r="208" spans="2:45" s="1" customFormat="1" x14ac:dyDescent="0.25">
      <c r="B208" s="47"/>
      <c r="C208" s="37" t="s">
        <v>141</v>
      </c>
      <c r="D208" s="1">
        <v>0</v>
      </c>
      <c r="E208" s="1">
        <v>64</v>
      </c>
      <c r="F208" s="1">
        <v>0</v>
      </c>
      <c r="G208" s="1">
        <v>8</v>
      </c>
      <c r="H208" s="1">
        <v>0</v>
      </c>
      <c r="I208" s="1">
        <v>0</v>
      </c>
      <c r="J208" s="1">
        <v>0</v>
      </c>
      <c r="K208" s="35"/>
      <c r="L208" s="37" t="s">
        <v>141</v>
      </c>
      <c r="M208" s="1">
        <v>66</v>
      </c>
      <c r="N208" s="1">
        <v>0</v>
      </c>
      <c r="O208" s="1">
        <v>1</v>
      </c>
      <c r="P208" s="1">
        <v>5</v>
      </c>
      <c r="Q208" s="1">
        <v>3</v>
      </c>
      <c r="R208" s="1">
        <v>0</v>
      </c>
      <c r="S208" s="1">
        <v>0</v>
      </c>
      <c r="T208" s="48"/>
      <c r="U208" s="35"/>
      <c r="V208" s="47"/>
      <c r="W208" s="37" t="s">
        <v>141</v>
      </c>
      <c r="X208" s="49">
        <f t="shared" ref="X208" si="51">D208/(D208+E208+F208+G208+H208+I208+J208)</f>
        <v>0</v>
      </c>
      <c r="Y208" s="49">
        <f t="shared" ref="Y208" si="52">E208/(E208+D208+F208+G208+H208+I208+J208)</f>
        <v>0.88888888888888884</v>
      </c>
      <c r="Z208" s="49">
        <f>F208/(F208+D208+G208+H208+I208+J208+E208)</f>
        <v>0</v>
      </c>
      <c r="AA208" s="35"/>
      <c r="AB208" s="37" t="s">
        <v>141</v>
      </c>
      <c r="AC208" s="49">
        <f t="shared" ref="AC208" si="53">M208/(R208+S208+Q208+P208+M208+N208+O208)</f>
        <v>0.88</v>
      </c>
      <c r="AD208" s="49">
        <f t="shared" ref="AD208" si="54">N208/(S208+M208+R208+Q208+N208+O208+P208)</f>
        <v>0</v>
      </c>
      <c r="AE208" s="49">
        <f t="shared" ref="AE208" si="55">O208/(M208+N208+S208+R208+O208+P208+Q208)</f>
        <v>1.3333333333333334E-2</v>
      </c>
      <c r="AF208" s="48"/>
      <c r="AG208" s="35"/>
      <c r="AH208" s="47"/>
      <c r="AI208" s="37" t="s">
        <v>141</v>
      </c>
      <c r="AJ208" s="54">
        <f>AC208-X208</f>
        <v>0.88</v>
      </c>
      <c r="AK208" s="54">
        <f>Y208-AD208</f>
        <v>0.88888888888888884</v>
      </c>
      <c r="AL208" s="35"/>
      <c r="AM208" s="35"/>
      <c r="AN208" s="48"/>
    </row>
    <row r="209" spans="2:46" s="1" customFormat="1" ht="15.75" thickBot="1" x14ac:dyDescent="0.3">
      <c r="B209" s="50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51"/>
      <c r="U209" s="35"/>
      <c r="V209" s="50"/>
      <c r="W209" s="43"/>
      <c r="X209" s="43"/>
      <c r="Y209" s="43"/>
      <c r="Z209" s="43"/>
      <c r="AA209" s="43"/>
      <c r="AB209" s="43"/>
      <c r="AC209" s="43"/>
      <c r="AD209" s="43"/>
      <c r="AE209" s="43"/>
      <c r="AF209" s="51"/>
      <c r="AG209" s="35"/>
      <c r="AH209" s="50"/>
      <c r="AI209" s="43"/>
      <c r="AJ209" s="43"/>
      <c r="AK209" s="43"/>
      <c r="AL209" s="43"/>
      <c r="AM209" s="43"/>
      <c r="AN209" s="51"/>
    </row>
    <row r="210" spans="2:46" s="1" customFormat="1" ht="15.75" thickTop="1" x14ac:dyDescent="0.25">
      <c r="U210" s="35"/>
      <c r="AG210" s="35"/>
    </row>
    <row r="211" spans="2:46" s="1" customFormat="1" x14ac:dyDescent="0.25">
      <c r="U211" s="35"/>
      <c r="AG211" s="35"/>
    </row>
    <row r="212" spans="2:46" s="1" customFormat="1" x14ac:dyDescent="0.25">
      <c r="U212" s="35"/>
      <c r="AG212" s="35"/>
    </row>
    <row r="213" spans="2:46" s="1" customFormat="1" ht="18.75" x14ac:dyDescent="0.3">
      <c r="B213" s="30"/>
      <c r="C213" s="30"/>
      <c r="D213" s="30"/>
      <c r="E213" s="30"/>
      <c r="F213" s="30"/>
      <c r="G213" s="30"/>
      <c r="H213" s="30"/>
      <c r="I213" s="30"/>
      <c r="J213" s="72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74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5"/>
    </row>
    <row r="214" spans="2:46" s="1" customFormat="1" ht="18.75" x14ac:dyDescent="0.3">
      <c r="B214" s="30"/>
      <c r="C214" s="72" t="s">
        <v>143</v>
      </c>
      <c r="D214" s="72"/>
      <c r="E214" s="72"/>
      <c r="F214" s="72"/>
      <c r="G214" s="72"/>
      <c r="H214" s="72"/>
      <c r="I214" s="72"/>
      <c r="J214" s="72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74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5"/>
    </row>
    <row r="215" spans="2:46" s="1" customFormat="1" ht="19.5" thickBot="1" x14ac:dyDescent="0.35">
      <c r="B215" s="30"/>
      <c r="C215" s="30"/>
      <c r="D215" s="72"/>
      <c r="E215" s="72"/>
      <c r="F215" s="72"/>
      <c r="G215" s="72"/>
      <c r="H215" s="72"/>
      <c r="I215" s="72"/>
      <c r="J215" s="72"/>
      <c r="K215" s="72"/>
      <c r="L215" s="30"/>
      <c r="M215" s="30"/>
      <c r="N215" s="30"/>
      <c r="O215" s="30"/>
      <c r="P215" s="30"/>
      <c r="Q215" s="30"/>
      <c r="R215" s="30"/>
      <c r="S215" s="30"/>
      <c r="T215" s="30"/>
      <c r="U215" s="74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5"/>
    </row>
    <row r="216" spans="2:46" s="1" customFormat="1" ht="15.75" thickTop="1" x14ac:dyDescent="0.25">
      <c r="B216" s="44"/>
      <c r="C216" s="45"/>
      <c r="D216" s="45"/>
      <c r="E216" s="45"/>
      <c r="F216" s="45"/>
      <c r="G216" s="45"/>
      <c r="H216" s="45"/>
      <c r="I216" s="45"/>
      <c r="J216" s="45"/>
      <c r="K216" s="45"/>
      <c r="L216" s="46"/>
      <c r="N216" s="44"/>
      <c r="O216" s="45"/>
      <c r="P216" s="45"/>
      <c r="Q216" s="45"/>
      <c r="R216" s="45"/>
      <c r="S216" s="45"/>
      <c r="T216" s="45"/>
      <c r="U216" s="45"/>
      <c r="V216" s="45"/>
      <c r="W216" s="45"/>
      <c r="X216" s="46"/>
      <c r="Z216" s="44"/>
      <c r="AA216" s="45"/>
      <c r="AB216" s="45"/>
      <c r="AC216" s="45"/>
      <c r="AD216" s="45"/>
      <c r="AE216" s="45"/>
      <c r="AF216" s="46"/>
      <c r="AG216" s="35"/>
    </row>
    <row r="217" spans="2:46" s="1" customFormat="1" ht="18.75" x14ac:dyDescent="0.3">
      <c r="B217" s="47"/>
      <c r="C217" s="70" t="s">
        <v>104</v>
      </c>
      <c r="D217" s="70"/>
      <c r="E217" s="70"/>
      <c r="F217" s="70"/>
      <c r="G217" s="74"/>
      <c r="H217" s="74"/>
      <c r="I217" s="35"/>
      <c r="J217" s="35"/>
      <c r="K217" s="35"/>
      <c r="L217" s="48"/>
      <c r="N217" s="47"/>
      <c r="O217" s="70" t="s">
        <v>102</v>
      </c>
      <c r="P217" s="70"/>
      <c r="Q217" s="70"/>
      <c r="R217" s="40"/>
      <c r="S217" s="35"/>
      <c r="T217" s="35"/>
      <c r="U217" s="35"/>
      <c r="V217" s="35"/>
      <c r="W217" s="35"/>
      <c r="X217" s="48"/>
      <c r="Z217" s="47"/>
      <c r="AA217" s="70" t="s">
        <v>103</v>
      </c>
      <c r="AB217" s="74"/>
      <c r="AC217" s="74"/>
      <c r="AD217" s="74"/>
      <c r="AE217" s="74"/>
      <c r="AF217" s="48"/>
      <c r="AG217" s="35"/>
    </row>
    <row r="218" spans="2:46" x14ac:dyDescent="0.25">
      <c r="B218" s="47"/>
      <c r="C218" s="35"/>
      <c r="D218" s="35"/>
      <c r="E218" s="35"/>
      <c r="F218" s="35"/>
      <c r="G218" s="35"/>
      <c r="H218" s="35"/>
      <c r="I218" s="35"/>
      <c r="J218" s="35"/>
      <c r="K218" s="35"/>
      <c r="L218" s="48"/>
      <c r="M218" s="1"/>
      <c r="N218" s="47"/>
      <c r="O218" s="35"/>
      <c r="P218" s="35"/>
      <c r="Q218" s="35"/>
      <c r="R218" s="35"/>
      <c r="S218" s="35"/>
      <c r="T218" s="35"/>
      <c r="U218" s="35"/>
      <c r="V218" s="35"/>
      <c r="W218" s="35"/>
      <c r="X218" s="48"/>
      <c r="Y218" s="1"/>
      <c r="Z218" s="47"/>
      <c r="AA218" s="35"/>
      <c r="AB218" s="35"/>
      <c r="AC218" s="35"/>
      <c r="AD218" s="35"/>
      <c r="AE218" s="35"/>
      <c r="AF218" s="48"/>
      <c r="AG218" s="35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2:46" ht="15.75" thickBot="1" x14ac:dyDescent="0.3">
      <c r="B219" s="47"/>
      <c r="C219" s="43"/>
      <c r="D219" s="43" t="s">
        <v>91</v>
      </c>
      <c r="E219" s="43"/>
      <c r="F219" s="43"/>
      <c r="G219" s="35"/>
      <c r="H219" s="43"/>
      <c r="I219" s="43" t="s">
        <v>92</v>
      </c>
      <c r="J219" s="43"/>
      <c r="K219" s="43"/>
      <c r="L219" s="48"/>
      <c r="M219" s="35"/>
      <c r="N219" s="47"/>
      <c r="O219" s="43"/>
      <c r="P219" s="43" t="s">
        <v>91</v>
      </c>
      <c r="Q219" s="43"/>
      <c r="R219" s="43"/>
      <c r="S219" s="35"/>
      <c r="T219" s="43"/>
      <c r="U219" s="43" t="s">
        <v>92</v>
      </c>
      <c r="V219" s="43"/>
      <c r="W219" s="43"/>
      <c r="X219" s="48"/>
      <c r="Y219" s="1"/>
      <c r="Z219" s="47"/>
      <c r="AA219" s="35"/>
      <c r="AB219" s="35"/>
      <c r="AC219" s="35"/>
      <c r="AD219" s="35"/>
      <c r="AE219" s="35"/>
      <c r="AF219" s="48"/>
      <c r="AG219" s="35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2:46" ht="16.5" thickTop="1" x14ac:dyDescent="0.25">
      <c r="B220" s="47"/>
      <c r="C220" s="39" t="s">
        <v>84</v>
      </c>
      <c r="D220" s="73" t="s">
        <v>87</v>
      </c>
      <c r="E220" s="73" t="s">
        <v>5</v>
      </c>
      <c r="F220" s="73" t="s">
        <v>88</v>
      </c>
      <c r="G220" s="35"/>
      <c r="H220" s="39" t="s">
        <v>84</v>
      </c>
      <c r="I220" s="73" t="s">
        <v>87</v>
      </c>
      <c r="J220" s="73" t="s">
        <v>4</v>
      </c>
      <c r="K220" s="73" t="s">
        <v>88</v>
      </c>
      <c r="L220" s="55"/>
      <c r="M220" s="36"/>
      <c r="N220" s="47"/>
      <c r="O220" s="39" t="s">
        <v>84</v>
      </c>
      <c r="P220" s="73" t="s">
        <v>87</v>
      </c>
      <c r="Q220" s="73" t="s">
        <v>5</v>
      </c>
      <c r="R220" s="73" t="s">
        <v>88</v>
      </c>
      <c r="S220" s="36"/>
      <c r="T220" s="39" t="s">
        <v>84</v>
      </c>
      <c r="U220" s="73" t="s">
        <v>87</v>
      </c>
      <c r="V220" s="73" t="s">
        <v>88</v>
      </c>
      <c r="W220" s="73" t="s">
        <v>4</v>
      </c>
      <c r="X220" s="48"/>
      <c r="Y220" s="1"/>
      <c r="Z220" s="47"/>
      <c r="AA220" s="39" t="s">
        <v>84</v>
      </c>
      <c r="AB220" s="75" t="s">
        <v>96</v>
      </c>
      <c r="AC220" s="75" t="s">
        <v>97</v>
      </c>
      <c r="AD220" s="35"/>
      <c r="AE220" s="35"/>
      <c r="AF220" s="48"/>
      <c r="AG220" s="35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2:46" x14ac:dyDescent="0.25">
      <c r="B221" s="47"/>
      <c r="C221" s="37" t="s">
        <v>140</v>
      </c>
      <c r="D221">
        <v>46</v>
      </c>
      <c r="E221">
        <v>0</v>
      </c>
      <c r="F221">
        <v>81</v>
      </c>
      <c r="G221" s="35"/>
      <c r="H221" s="37" t="s">
        <v>140</v>
      </c>
      <c r="I221">
        <v>38</v>
      </c>
      <c r="J221">
        <v>9</v>
      </c>
      <c r="K221">
        <v>80</v>
      </c>
      <c r="L221" s="48"/>
      <c r="M221" s="1"/>
      <c r="N221" s="47"/>
      <c r="O221" s="37" t="s">
        <v>140</v>
      </c>
      <c r="P221" s="49">
        <f>D221/(D221+E221+F221)</f>
        <v>0.36220472440944884</v>
      </c>
      <c r="Q221" s="49">
        <f>E221/(D221+E221+F221)</f>
        <v>0</v>
      </c>
      <c r="R221" s="49">
        <f>F221/(D221+E221+F221)</f>
        <v>0.63779527559055116</v>
      </c>
      <c r="S221" s="35"/>
      <c r="T221" s="37" t="s">
        <v>140</v>
      </c>
      <c r="U221" s="49">
        <f>I221/(I221+J221+K221)</f>
        <v>0.29921259842519687</v>
      </c>
      <c r="V221" s="49">
        <f>J221/(J221+I221+K221)</f>
        <v>7.0866141732283464E-2</v>
      </c>
      <c r="W221" s="49">
        <f>K221/(I221+J221+K221)</f>
        <v>0.62992125984251968</v>
      </c>
      <c r="X221" s="48"/>
      <c r="Z221" s="56"/>
      <c r="AA221" s="37" t="s">
        <v>140</v>
      </c>
      <c r="AB221" s="54">
        <f>U221-P221</f>
        <v>-6.2992125984251968E-2</v>
      </c>
      <c r="AC221" s="54">
        <f>R221-W221</f>
        <v>7.8740157480314821E-3</v>
      </c>
      <c r="AD221" s="35"/>
      <c r="AE221" s="35"/>
      <c r="AF221" s="48"/>
      <c r="AG221" s="35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2:46" x14ac:dyDescent="0.25">
      <c r="B222" s="47"/>
      <c r="C222" s="37" t="s">
        <v>141</v>
      </c>
      <c r="D222">
        <v>33</v>
      </c>
      <c r="E222">
        <v>2</v>
      </c>
      <c r="F222">
        <v>74</v>
      </c>
      <c r="G222" s="35"/>
      <c r="H222" s="37" t="s">
        <v>141</v>
      </c>
      <c r="I222">
        <v>41</v>
      </c>
      <c r="J222">
        <v>10</v>
      </c>
      <c r="K222">
        <v>42</v>
      </c>
      <c r="L222" s="48"/>
      <c r="M222" s="1"/>
      <c r="N222" s="47"/>
      <c r="O222" s="37" t="s">
        <v>141</v>
      </c>
      <c r="P222" s="49">
        <f>D222/(D222+E222+F222)</f>
        <v>0.30275229357798167</v>
      </c>
      <c r="Q222" s="49">
        <f>E222/(D222+E222+F222)</f>
        <v>1.834862385321101E-2</v>
      </c>
      <c r="R222" s="49">
        <f>F222/(D222+E222+F222)</f>
        <v>0.67889908256880738</v>
      </c>
      <c r="S222" s="35"/>
      <c r="T222" s="37" t="s">
        <v>141</v>
      </c>
      <c r="U222" s="49">
        <f>I222/(I222+J222+K222)</f>
        <v>0.44086021505376344</v>
      </c>
      <c r="V222" s="49">
        <f>J222/(J222+I222+K222)</f>
        <v>0.10752688172043011</v>
      </c>
      <c r="W222" s="49">
        <f>K222/(I222+J222+K222)</f>
        <v>0.45161290322580644</v>
      </c>
      <c r="X222" s="48"/>
      <c r="Y222" s="1"/>
      <c r="Z222" s="47"/>
      <c r="AA222" s="37" t="s">
        <v>141</v>
      </c>
      <c r="AB222" s="54">
        <f>U222-P222</f>
        <v>0.13810792147578177</v>
      </c>
      <c r="AC222" s="54">
        <f>R222-W222</f>
        <v>0.22728617934300094</v>
      </c>
      <c r="AD222" s="35"/>
      <c r="AE222" s="35"/>
      <c r="AF222" s="48"/>
      <c r="AG222" s="35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2:46" ht="15.75" thickBot="1" x14ac:dyDescent="0.3">
      <c r="B223" s="50"/>
      <c r="C223" s="43"/>
      <c r="D223" s="43"/>
      <c r="E223" s="43"/>
      <c r="F223" s="43"/>
      <c r="G223" s="43"/>
      <c r="H223" s="43"/>
      <c r="I223" s="43"/>
      <c r="J223" s="43"/>
      <c r="K223" s="43"/>
      <c r="L223" s="51"/>
      <c r="M223" s="1"/>
      <c r="N223" s="50"/>
      <c r="O223" s="43"/>
      <c r="P223" s="43"/>
      <c r="Q223" s="43"/>
      <c r="R223" s="43"/>
      <c r="S223" s="43"/>
      <c r="T223" s="43"/>
      <c r="U223" s="43"/>
      <c r="V223" s="43"/>
      <c r="W223" s="43"/>
      <c r="X223" s="51"/>
      <c r="Y223" s="1"/>
      <c r="Z223" s="50"/>
      <c r="AA223" s="43"/>
      <c r="AB223" s="43"/>
      <c r="AC223" s="43"/>
      <c r="AD223" s="43"/>
      <c r="AE223" s="43"/>
      <c r="AF223" s="5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2:46" ht="16.5" thickTop="1" thickBot="1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4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2:46" ht="15.75" thickTop="1" x14ac:dyDescent="0.25">
      <c r="B225" s="44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6"/>
      <c r="O225" s="47"/>
      <c r="P225" s="44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6"/>
      <c r="AC225" s="1"/>
      <c r="AD225" s="44"/>
      <c r="AE225" s="45"/>
      <c r="AF225" s="45"/>
      <c r="AG225" s="45"/>
      <c r="AH225" s="45"/>
      <c r="AI225" s="45"/>
      <c r="AJ225" s="45"/>
      <c r="AK225" s="45"/>
      <c r="AL225" s="45"/>
      <c r="AM225" s="45"/>
      <c r="AN225" s="46"/>
      <c r="AO225" s="1"/>
      <c r="AP225" s="44"/>
      <c r="AQ225" s="45"/>
      <c r="AR225" s="45"/>
      <c r="AS225" s="46"/>
      <c r="AT225" s="1"/>
    </row>
    <row r="226" spans="2:46" ht="18.75" x14ac:dyDescent="0.3">
      <c r="B226" s="47"/>
      <c r="C226" s="70" t="s">
        <v>105</v>
      </c>
      <c r="D226" s="70"/>
      <c r="E226" s="70"/>
      <c r="F226" s="70"/>
      <c r="G226" s="70"/>
      <c r="H226" s="70"/>
      <c r="I226" s="74"/>
      <c r="J226" s="74"/>
      <c r="K226" s="35"/>
      <c r="L226" s="35"/>
      <c r="M226" s="1"/>
      <c r="N226" s="48"/>
      <c r="O226" s="47"/>
      <c r="P226" s="47"/>
      <c r="Q226" s="70" t="s">
        <v>112</v>
      </c>
      <c r="R226" s="70"/>
      <c r="S226" s="70"/>
      <c r="T226" s="70"/>
      <c r="U226" s="74"/>
      <c r="V226" s="74"/>
      <c r="W226" s="35"/>
      <c r="X226" s="35"/>
      <c r="Y226" s="35"/>
      <c r="Z226" s="35"/>
      <c r="AA226" s="35"/>
      <c r="AB226" s="48"/>
      <c r="AC226" s="1"/>
      <c r="AD226" s="47"/>
      <c r="AE226" s="70" t="s">
        <v>121</v>
      </c>
      <c r="AF226" s="70"/>
      <c r="AG226" s="1"/>
      <c r="AH226" s="35"/>
      <c r="AI226" s="35"/>
      <c r="AJ226" s="35"/>
      <c r="AK226" s="35"/>
      <c r="AL226" s="35"/>
      <c r="AM226" s="35"/>
      <c r="AN226" s="48"/>
      <c r="AO226" s="1"/>
      <c r="AP226" s="47"/>
      <c r="AQ226" s="70" t="s">
        <v>129</v>
      </c>
      <c r="AR226" s="74"/>
      <c r="AS226" s="48"/>
      <c r="AT226" s="1"/>
    </row>
    <row r="227" spans="2:46" ht="18.75" x14ac:dyDescent="0.3">
      <c r="B227" s="47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1"/>
      <c r="N227" s="48"/>
      <c r="O227" s="47"/>
      <c r="P227" s="47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48"/>
      <c r="AC227" s="1"/>
      <c r="AD227" s="47"/>
      <c r="AE227" s="40"/>
      <c r="AF227" s="40"/>
      <c r="AG227" s="1"/>
      <c r="AH227" s="35"/>
      <c r="AI227" s="35"/>
      <c r="AJ227" s="35"/>
      <c r="AK227" s="35"/>
      <c r="AL227" s="35"/>
      <c r="AM227" s="35"/>
      <c r="AN227" s="48"/>
      <c r="AO227" s="1"/>
      <c r="AP227" s="47"/>
      <c r="AQ227" s="35"/>
      <c r="AR227" s="35"/>
      <c r="AS227" s="48"/>
      <c r="AT227" s="1"/>
    </row>
    <row r="228" spans="2:46" x14ac:dyDescent="0.25">
      <c r="B228" s="47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1"/>
      <c r="N228" s="48"/>
      <c r="O228" s="47"/>
      <c r="P228" s="47"/>
      <c r="Q228" s="35"/>
      <c r="R228" s="1"/>
      <c r="S228" s="35"/>
      <c r="T228" s="35"/>
      <c r="U228" s="35"/>
      <c r="V228" s="35"/>
      <c r="W228" s="35"/>
      <c r="X228" s="35"/>
      <c r="Y228" s="35"/>
      <c r="Z228" s="35"/>
      <c r="AA228" s="35"/>
      <c r="AB228" s="48"/>
      <c r="AC228" s="1"/>
      <c r="AD228" s="47"/>
      <c r="AE228" s="35"/>
      <c r="AF228" s="35"/>
      <c r="AG228" s="1"/>
      <c r="AH228" s="35"/>
      <c r="AI228" s="35"/>
      <c r="AJ228" s="35"/>
      <c r="AK228" s="35"/>
      <c r="AL228" s="35"/>
      <c r="AM228" s="35"/>
      <c r="AN228" s="48"/>
      <c r="AO228" s="1"/>
      <c r="AP228" s="47"/>
      <c r="AQ228" s="35"/>
      <c r="AR228" s="35"/>
      <c r="AS228" s="48"/>
      <c r="AT228" s="1"/>
    </row>
    <row r="229" spans="2:46" ht="19.5" thickBot="1" x14ac:dyDescent="0.35">
      <c r="B229" s="47"/>
      <c r="C229" s="1"/>
      <c r="D229" s="1"/>
      <c r="F229" s="43"/>
      <c r="G229" s="43"/>
      <c r="H229" s="58" t="s">
        <v>124</v>
      </c>
      <c r="I229" s="35"/>
      <c r="K229" s="43"/>
      <c r="L229" s="43"/>
      <c r="M229" s="58" t="s">
        <v>125</v>
      </c>
      <c r="N229" s="48"/>
      <c r="O229" s="60"/>
      <c r="P229" s="47"/>
      <c r="Q229" s="58"/>
      <c r="R229" s="36"/>
      <c r="S229" s="43"/>
      <c r="T229" s="43"/>
      <c r="U229" s="43"/>
      <c r="V229" s="58" t="s">
        <v>124</v>
      </c>
      <c r="W229" s="35"/>
      <c r="X229" s="58"/>
      <c r="Y229" s="43"/>
      <c r="Z229" s="43"/>
      <c r="AA229" s="58" t="s">
        <v>125</v>
      </c>
      <c r="AB229" s="48"/>
      <c r="AC229" s="1"/>
      <c r="AD229" s="47"/>
      <c r="AE229" s="43"/>
      <c r="AF229" s="43" t="s">
        <v>91</v>
      </c>
      <c r="AG229" s="1"/>
      <c r="AH229" s="35"/>
      <c r="AI229" s="43" t="s">
        <v>92</v>
      </c>
      <c r="AJ229" s="43" t="s">
        <v>130</v>
      </c>
      <c r="AK229" s="35"/>
      <c r="AL229" s="35" t="s">
        <v>127</v>
      </c>
      <c r="AN229" s="48"/>
      <c r="AO229" s="1"/>
      <c r="AP229" s="47"/>
      <c r="AQ229" s="35"/>
      <c r="AR229" s="35"/>
      <c r="AS229" s="48"/>
      <c r="AT229" s="1"/>
    </row>
    <row r="230" spans="2:46" ht="16.5" thickTop="1" x14ac:dyDescent="0.25">
      <c r="B230" s="56"/>
      <c r="C230" s="39" t="s">
        <v>84</v>
      </c>
      <c r="D230" s="36"/>
      <c r="E230" s="87" t="s">
        <v>106</v>
      </c>
      <c r="F230" s="73" t="s">
        <v>107</v>
      </c>
      <c r="G230" s="73" t="s">
        <v>108</v>
      </c>
      <c r="H230" s="73" t="s">
        <v>119</v>
      </c>
      <c r="I230" s="35"/>
      <c r="J230" s="87" t="s">
        <v>109</v>
      </c>
      <c r="K230" s="73" t="s">
        <v>110</v>
      </c>
      <c r="L230" s="73" t="s">
        <v>111</v>
      </c>
      <c r="M230" s="87" t="s">
        <v>120</v>
      </c>
      <c r="N230" s="48"/>
      <c r="O230" s="56"/>
      <c r="P230" s="56"/>
      <c r="Q230" s="39" t="s">
        <v>84</v>
      </c>
      <c r="R230" s="37"/>
      <c r="S230" s="73" t="s">
        <v>113</v>
      </c>
      <c r="T230" s="73" t="s">
        <v>114</v>
      </c>
      <c r="U230" s="73" t="s">
        <v>115</v>
      </c>
      <c r="V230" s="73" t="s">
        <v>119</v>
      </c>
      <c r="W230" s="35"/>
      <c r="X230" s="73" t="s">
        <v>116</v>
      </c>
      <c r="Y230" s="73" t="s">
        <v>117</v>
      </c>
      <c r="Z230" s="73" t="s">
        <v>118</v>
      </c>
      <c r="AA230" s="87" t="s">
        <v>120</v>
      </c>
      <c r="AB230" s="55"/>
      <c r="AC230" s="1"/>
      <c r="AD230" s="47"/>
      <c r="AE230" s="39" t="s">
        <v>84</v>
      </c>
      <c r="AF230" s="73" t="s">
        <v>122</v>
      </c>
      <c r="AG230" s="73" t="s">
        <v>123</v>
      </c>
      <c r="AH230" s="36"/>
      <c r="AI230" s="73" t="s">
        <v>122</v>
      </c>
      <c r="AJ230" s="73" t="s">
        <v>123</v>
      </c>
      <c r="AK230" s="65"/>
      <c r="AL230" s="61" t="s">
        <v>85</v>
      </c>
      <c r="AM230" s="61" t="s">
        <v>126</v>
      </c>
      <c r="AN230" s="48"/>
      <c r="AO230" s="1"/>
      <c r="AP230" s="47"/>
      <c r="AQ230" s="88" t="s">
        <v>0</v>
      </c>
      <c r="AR230" s="89" t="s">
        <v>71</v>
      </c>
      <c r="AS230" s="48"/>
      <c r="AT230" s="1"/>
    </row>
    <row r="231" spans="2:46" x14ac:dyDescent="0.25">
      <c r="B231" s="47"/>
      <c r="C231" s="37" t="s">
        <v>140</v>
      </c>
      <c r="D231" s="37"/>
      <c r="E231" s="35">
        <v>6</v>
      </c>
      <c r="F231" s="35">
        <v>31</v>
      </c>
      <c r="G231" s="35">
        <v>5</v>
      </c>
      <c r="H231" s="64">
        <f>SUM(E231:G231)</f>
        <v>42</v>
      </c>
      <c r="I231" s="35"/>
      <c r="J231" s="35">
        <v>45</v>
      </c>
      <c r="K231" s="35">
        <v>4</v>
      </c>
      <c r="L231" s="35">
        <v>35</v>
      </c>
      <c r="M231" s="64">
        <f>SUM(J231:L231)</f>
        <v>84</v>
      </c>
      <c r="N231" s="48"/>
      <c r="O231" s="47"/>
      <c r="P231" s="47"/>
      <c r="Q231" s="37" t="s">
        <v>140</v>
      </c>
      <c r="R231" s="37"/>
      <c r="S231" s="35">
        <v>11</v>
      </c>
      <c r="T231" s="35">
        <v>35</v>
      </c>
      <c r="U231" s="35">
        <v>0</v>
      </c>
      <c r="V231" s="64">
        <f>SUM(S231:U231)</f>
        <v>46</v>
      </c>
      <c r="W231" s="35"/>
      <c r="X231" s="35">
        <v>79</v>
      </c>
      <c r="Y231" s="35">
        <v>0</v>
      </c>
      <c r="Z231" s="35">
        <v>2</v>
      </c>
      <c r="AA231" s="64">
        <f>SUM(X231:Z231)</f>
        <v>81</v>
      </c>
      <c r="AB231" s="48"/>
      <c r="AC231" s="1"/>
      <c r="AD231" s="47"/>
      <c r="AE231" s="37" t="s">
        <v>140</v>
      </c>
      <c r="AF231" s="49">
        <f>H231/(H231+M231)</f>
        <v>0.33333333333333331</v>
      </c>
      <c r="AG231" s="49">
        <f>M231/(H231+M231)</f>
        <v>0.66666666666666663</v>
      </c>
      <c r="AH231" s="35"/>
      <c r="AI231" s="49">
        <f>V231/(V231+AA231)</f>
        <v>0.36220472440944884</v>
      </c>
      <c r="AJ231" s="49">
        <f>AA231/(V231+AA231)</f>
        <v>0.63779527559055116</v>
      </c>
      <c r="AK231" s="49"/>
      <c r="AL231" s="49"/>
      <c r="AM231" s="49"/>
      <c r="AN231" s="48"/>
      <c r="AO231" s="1"/>
      <c r="AP231" s="56"/>
      <c r="AQ231" s="37">
        <v>1</v>
      </c>
      <c r="AR231" s="54">
        <f>AI231-AF231</f>
        <v>2.8871391076115527E-2</v>
      </c>
      <c r="AS231" s="48"/>
      <c r="AT231" s="1"/>
    </row>
    <row r="232" spans="2:46" x14ac:dyDescent="0.25">
      <c r="B232" s="47"/>
      <c r="C232" s="37" t="s">
        <v>141</v>
      </c>
      <c r="D232" s="37"/>
      <c r="E232" s="35">
        <v>17</v>
      </c>
      <c r="F232" s="35">
        <v>16</v>
      </c>
      <c r="G232" s="35">
        <v>2</v>
      </c>
      <c r="H232" s="64">
        <f t="shared" ref="H232" si="56">SUM(E232:G232)</f>
        <v>35</v>
      </c>
      <c r="I232" s="35"/>
      <c r="J232" s="35">
        <v>63</v>
      </c>
      <c r="K232" s="35">
        <v>2</v>
      </c>
      <c r="L232" s="35">
        <v>6</v>
      </c>
      <c r="M232" s="64">
        <f>SUM(J232:L232)</f>
        <v>71</v>
      </c>
      <c r="N232" s="48"/>
      <c r="O232" s="47"/>
      <c r="P232" s="47"/>
      <c r="Q232" s="37" t="s">
        <v>141</v>
      </c>
      <c r="R232" s="37"/>
      <c r="S232" s="35">
        <v>12</v>
      </c>
      <c r="T232" s="35">
        <v>34</v>
      </c>
      <c r="U232" s="35">
        <v>1</v>
      </c>
      <c r="V232" s="64">
        <f>SUM(S232:U232)</f>
        <v>47</v>
      </c>
      <c r="W232" s="35"/>
      <c r="X232" s="35">
        <v>20</v>
      </c>
      <c r="Y232" s="35">
        <v>5</v>
      </c>
      <c r="Z232" s="35">
        <v>21</v>
      </c>
      <c r="AA232" s="64">
        <f>SUM(X232:Z232)</f>
        <v>46</v>
      </c>
      <c r="AB232" s="48"/>
      <c r="AC232" s="1"/>
      <c r="AD232" s="47"/>
      <c r="AE232" s="37" t="s">
        <v>141</v>
      </c>
      <c r="AF232" s="49">
        <f>H232/(H232+M232)</f>
        <v>0.330188679245283</v>
      </c>
      <c r="AG232" s="49">
        <f>M232/(H232+M232)</f>
        <v>0.66981132075471694</v>
      </c>
      <c r="AH232" s="35"/>
      <c r="AI232" s="49">
        <f>V232/(V232+AA232)</f>
        <v>0.5053763440860215</v>
      </c>
      <c r="AJ232" s="49">
        <f>AA232/(V232+AA232)</f>
        <v>0.4946236559139785</v>
      </c>
      <c r="AK232" s="49"/>
      <c r="AL232" s="49"/>
      <c r="AM232" s="49"/>
      <c r="AN232" s="48"/>
      <c r="AO232" s="1"/>
      <c r="AP232" s="47"/>
      <c r="AQ232" s="37">
        <v>2</v>
      </c>
      <c r="AR232" s="54">
        <f>AI232-AF232</f>
        <v>0.1751876648407385</v>
      </c>
      <c r="AS232" s="48"/>
      <c r="AT232" s="1"/>
    </row>
    <row r="233" spans="2:46" ht="15.75" thickBot="1" x14ac:dyDescent="0.3">
      <c r="B233" s="50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57"/>
      <c r="O233" s="1"/>
      <c r="P233" s="50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51"/>
      <c r="AC233" s="1"/>
      <c r="AD233" s="50"/>
      <c r="AE233" s="43"/>
      <c r="AF233" s="43"/>
      <c r="AG233" s="43"/>
      <c r="AH233" s="43"/>
      <c r="AI233" s="43"/>
      <c r="AJ233" s="43"/>
      <c r="AK233" s="43"/>
      <c r="AL233" s="43"/>
      <c r="AM233" s="43"/>
      <c r="AN233" s="51"/>
      <c r="AO233" s="1"/>
      <c r="AP233" s="50"/>
      <c r="AQ233" s="43"/>
      <c r="AR233" s="43"/>
      <c r="AS233" s="51"/>
      <c r="AT233" s="1"/>
    </row>
    <row r="234" spans="2:46" ht="15.75" thickTop="1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O234" s="1"/>
      <c r="P234" s="1"/>
      <c r="Q234" s="1"/>
      <c r="R234" s="1"/>
      <c r="S234" s="1"/>
      <c r="T234" s="1"/>
      <c r="U234" s="1"/>
      <c r="V234" s="1"/>
      <c r="AC234" s="1"/>
      <c r="AO234" s="1"/>
      <c r="AP234" s="1"/>
      <c r="AQ234" s="1"/>
      <c r="AR234" s="1"/>
      <c r="AS234" s="1"/>
      <c r="AT234" s="1"/>
    </row>
    <row r="235" spans="2:46" s="1" customFormat="1" x14ac:dyDescent="0.25"/>
    <row r="236" spans="2:46" s="1" customFormat="1" x14ac:dyDescent="0.25"/>
    <row r="237" spans="2:46" s="1" customFormat="1" x14ac:dyDescent="0.25"/>
    <row r="238" spans="2:46" s="1" customFormat="1" x14ac:dyDescent="0.25"/>
    <row r="239" spans="2:46" s="1" customFormat="1" x14ac:dyDescent="0.25"/>
    <row r="240" spans="2:46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</sheetData>
  <conditionalFormatting sqref="AB50:AC69">
    <cfRule type="cellIs" dxfId="37" priority="46" operator="between">
      <formula>-0.00001</formula>
      <formula>-1</formula>
    </cfRule>
    <cfRule type="cellIs" dxfId="36" priority="47" operator="between">
      <formula>0.0000001</formula>
      <formula>1</formula>
    </cfRule>
  </conditionalFormatting>
  <conditionalFormatting sqref="AU98:AU99 AT80:AT97 AX98:AY99 AW80:AX97">
    <cfRule type="cellIs" dxfId="35" priority="44" operator="lessThan">
      <formula>0</formula>
    </cfRule>
    <cfRule type="cellIs" dxfId="34" priority="45" operator="greaterThan">
      <formula>0</formula>
    </cfRule>
  </conditionalFormatting>
  <conditionalFormatting sqref="AV98:AV99 AU80:AU97">
    <cfRule type="cellIs" dxfId="33" priority="37" operator="lessThan">
      <formula>0</formula>
    </cfRule>
    <cfRule type="cellIs" dxfId="32" priority="38" operator="greaterThan">
      <formula>0</formula>
    </cfRule>
    <cfRule type="cellIs" dxfId="31" priority="39" operator="lessThan">
      <formula>0</formula>
    </cfRule>
    <cfRule type="cellIs" dxfId="30" priority="40" operator="lessThan">
      <formula>0</formula>
    </cfRule>
    <cfRule type="cellIs" dxfId="29" priority="41" operator="greaterThan">
      <formula>0</formula>
    </cfRule>
  </conditionalFormatting>
  <conditionalFormatting sqref="AB18:AC37">
    <cfRule type="cellIs" dxfId="28" priority="32" operator="between">
      <formula>-0.00001</formula>
      <formula>-1</formula>
    </cfRule>
    <cfRule type="cellIs" dxfId="27" priority="33" operator="between">
      <formula>0.0000001</formula>
      <formula>1</formula>
    </cfRule>
  </conditionalFormatting>
  <conditionalFormatting sqref="BA98:BB99 AZ80:BA97">
    <cfRule type="colorScale" priority="66">
      <colorScale>
        <cfvo type="min"/>
        <cfvo type="max"/>
        <color theme="8" tint="0.79998168889431442"/>
        <color theme="8"/>
      </colorScale>
    </cfRule>
  </conditionalFormatting>
  <conditionalFormatting sqref="AR78:AR97">
    <cfRule type="cellIs" dxfId="26" priority="30" operator="between">
      <formula>-0.00001</formula>
      <formula>-1</formula>
    </cfRule>
    <cfRule type="cellIs" dxfId="25" priority="31" operator="between">
      <formula>0.0000001</formula>
      <formula>1</formula>
    </cfRule>
  </conditionalFormatting>
  <conditionalFormatting sqref="AB145:AC164">
    <cfRule type="cellIs" dxfId="24" priority="28" operator="between">
      <formula>-0.00001</formula>
      <formula>-1</formula>
    </cfRule>
    <cfRule type="cellIs" dxfId="23" priority="29" operator="between">
      <formula>0.0000001</formula>
      <formula>1</formula>
    </cfRule>
  </conditionalFormatting>
  <conditionalFormatting sqref="AU193:AU194 AT175:AT192">
    <cfRule type="cellIs" dxfId="22" priority="26" operator="lessThan">
      <formula>0</formula>
    </cfRule>
    <cfRule type="cellIs" dxfId="21" priority="27" operator="greaterThan">
      <formula>0</formula>
    </cfRule>
  </conditionalFormatting>
  <conditionalFormatting sqref="AV193:AV194 AU175:AU192">
    <cfRule type="cellIs" dxfId="20" priority="21" operator="lessThan">
      <formula>0</formula>
    </cfRule>
    <cfRule type="cellIs" dxfId="19" priority="22" operator="greaterThan">
      <formula>0</formula>
    </cfRule>
    <cfRule type="cellIs" dxfId="18" priority="23" operator="lessThan">
      <formula>0</formula>
    </cfRule>
    <cfRule type="cellIs" dxfId="17" priority="24" operator="lessThan">
      <formula>0</formula>
    </cfRule>
    <cfRule type="cellIs" dxfId="16" priority="25" operator="greaterThan">
      <formula>0</formula>
    </cfRule>
  </conditionalFormatting>
  <conditionalFormatting sqref="AJ113:AK132">
    <cfRule type="cellIs" dxfId="15" priority="19" operator="between">
      <formula>-0.00001</formula>
      <formula>-1</formula>
    </cfRule>
    <cfRule type="cellIs" dxfId="14" priority="20" operator="between">
      <formula>0.0000001</formula>
      <formula>1</formula>
    </cfRule>
  </conditionalFormatting>
  <conditionalFormatting sqref="AR173:AR192">
    <cfRule type="cellIs" dxfId="13" priority="17" operator="between">
      <formula>-0.00001</formula>
      <formula>-1</formula>
    </cfRule>
    <cfRule type="cellIs" dxfId="12" priority="18" operator="between">
      <formula>0.0000001</formula>
      <formula>1</formula>
    </cfRule>
  </conditionalFormatting>
  <conditionalFormatting sqref="AR231:AR232">
    <cfRule type="cellIs" dxfId="11" priority="1" operator="between">
      <formula>-0.00001</formula>
      <formula>-1</formula>
    </cfRule>
    <cfRule type="cellIs" dxfId="10" priority="2" operator="between">
      <formula>0.0000001</formula>
      <formula>1</formula>
    </cfRule>
  </conditionalFormatting>
  <conditionalFormatting sqref="AB221:AC222">
    <cfRule type="cellIs" dxfId="9" priority="7" operator="between">
      <formula>-0.00001</formula>
      <formula>-1</formula>
    </cfRule>
    <cfRule type="cellIs" dxfId="8" priority="8" operator="between">
      <formula>0.0000001</formula>
      <formula>1</formula>
    </cfRule>
  </conditionalFormatting>
  <conditionalFormatting sqref="AJ207:AK208">
    <cfRule type="cellIs" dxfId="7" priority="3" operator="between">
      <formula>-0.00001</formula>
      <formula>-1</formula>
    </cfRule>
    <cfRule type="cellIs" dxfId="6" priority="4" operator="between">
      <formula>0.0000001</formula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3"/>
  <sheetViews>
    <sheetView topLeftCell="A34" zoomScale="90" zoomScaleNormal="90" workbookViewId="0">
      <selection activeCell="J54" sqref="J54"/>
    </sheetView>
  </sheetViews>
  <sheetFormatPr defaultRowHeight="15" x14ac:dyDescent="0.25"/>
  <cols>
    <col min="3" max="3" width="14" customWidth="1"/>
    <col min="5" max="5" width="13.7109375" customWidth="1"/>
    <col min="6" max="6" width="10.7109375" customWidth="1"/>
    <col min="7" max="8" width="7.28515625" style="10" customWidth="1"/>
    <col min="9" max="9" width="6.42578125" style="10" customWidth="1"/>
    <col min="10" max="11" width="8" style="10" customWidth="1"/>
    <col min="12" max="12" width="7.140625" style="10" customWidth="1"/>
    <col min="13" max="13" width="6.85546875" style="10" customWidth="1"/>
    <col min="14" max="14" width="7.140625" style="10" customWidth="1"/>
    <col min="15" max="15" width="5.42578125" style="10" customWidth="1"/>
    <col min="16" max="16" width="5.7109375" style="10" customWidth="1"/>
    <col min="17" max="17" width="6.7109375" style="10" customWidth="1"/>
    <col min="18" max="18" width="6" style="10" customWidth="1"/>
    <col min="19" max="19" width="6.28515625" style="10" customWidth="1"/>
    <col min="20" max="20" width="6" style="10" customWidth="1"/>
    <col min="21" max="21" width="5.42578125" customWidth="1"/>
    <col min="22" max="22" width="6.28515625" customWidth="1"/>
    <col min="23" max="23" width="6.42578125" customWidth="1"/>
    <col min="24" max="24" width="6" customWidth="1"/>
    <col min="25" max="25" width="6.140625" customWidth="1"/>
    <col min="26" max="26" width="6.42578125" customWidth="1"/>
  </cols>
  <sheetData>
    <row r="1" spans="1:18" x14ac:dyDescent="0.25">
      <c r="A1" s="90"/>
      <c r="B1" s="90"/>
      <c r="C1" s="90"/>
      <c r="D1" s="90"/>
      <c r="E1" s="90"/>
      <c r="F1" s="90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</row>
    <row r="2" spans="1:18" x14ac:dyDescent="0.25">
      <c r="A2" s="90"/>
      <c r="B2" s="90"/>
      <c r="C2" s="90"/>
      <c r="D2" s="90"/>
      <c r="E2" s="90"/>
      <c r="F2" s="90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</row>
    <row r="3" spans="1:18" x14ac:dyDescent="0.25">
      <c r="A3" s="90"/>
      <c r="B3" s="90"/>
      <c r="C3" s="90"/>
      <c r="D3" s="90"/>
      <c r="E3" s="90"/>
      <c r="F3" s="90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</row>
    <row r="4" spans="1:18" x14ac:dyDescent="0.25">
      <c r="A4" s="90"/>
      <c r="B4" s="90"/>
      <c r="C4" s="90"/>
      <c r="D4" s="90"/>
      <c r="E4" s="90"/>
      <c r="F4" s="90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</row>
    <row r="5" spans="1:18" ht="15.75" x14ac:dyDescent="0.25">
      <c r="A5" s="90"/>
      <c r="B5" s="2"/>
      <c r="C5" s="2" t="s">
        <v>68</v>
      </c>
      <c r="D5" s="2"/>
      <c r="E5" s="2"/>
      <c r="F5" s="2"/>
      <c r="G5" s="9"/>
      <c r="H5" s="9"/>
      <c r="I5" s="9"/>
      <c r="J5" s="9" t="s">
        <v>72</v>
      </c>
      <c r="K5" s="9"/>
      <c r="L5" s="9"/>
      <c r="M5" s="9" t="s">
        <v>73</v>
      </c>
      <c r="N5" s="9"/>
      <c r="O5" s="9"/>
      <c r="P5" s="91"/>
      <c r="Q5" s="91"/>
      <c r="R5" s="91"/>
    </row>
    <row r="6" spans="1:18" ht="15.75" x14ac:dyDescent="0.25">
      <c r="A6" s="90"/>
      <c r="B6" s="2"/>
      <c r="C6" s="2" t="s">
        <v>75</v>
      </c>
      <c r="D6" s="2"/>
      <c r="E6" s="2"/>
      <c r="F6" s="2"/>
      <c r="G6" s="9" t="s">
        <v>74</v>
      </c>
      <c r="H6" s="9"/>
      <c r="I6" s="9"/>
      <c r="J6" s="9"/>
      <c r="K6" s="9"/>
      <c r="L6" s="9"/>
      <c r="M6" s="9"/>
      <c r="N6" s="9"/>
      <c r="O6" s="9"/>
      <c r="P6" s="91"/>
      <c r="Q6" s="91"/>
      <c r="R6" s="91"/>
    </row>
    <row r="7" spans="1:18" ht="15.75" x14ac:dyDescent="0.25">
      <c r="A7" s="90"/>
      <c r="B7" s="2" t="s">
        <v>0</v>
      </c>
      <c r="C7" s="2" t="s">
        <v>65</v>
      </c>
      <c r="D7" s="2" t="s">
        <v>66</v>
      </c>
      <c r="E7" s="2" t="s">
        <v>67</v>
      </c>
      <c r="F7" s="2"/>
      <c r="G7" s="9" t="s">
        <v>76</v>
      </c>
      <c r="H7" s="9" t="s">
        <v>77</v>
      </c>
      <c r="I7" s="9"/>
      <c r="J7" s="9" t="s">
        <v>6</v>
      </c>
      <c r="K7" s="9" t="s">
        <v>3</v>
      </c>
      <c r="L7" s="9"/>
      <c r="M7" s="9" t="s">
        <v>6</v>
      </c>
      <c r="N7" s="9" t="s">
        <v>3</v>
      </c>
      <c r="O7" s="9"/>
      <c r="P7" s="91"/>
      <c r="Q7" s="91"/>
      <c r="R7" s="91"/>
    </row>
    <row r="8" spans="1:18" ht="15.75" x14ac:dyDescent="0.25">
      <c r="A8" s="90"/>
      <c r="B8" s="2"/>
      <c r="C8" s="2"/>
      <c r="D8" s="2"/>
      <c r="E8" s="2"/>
      <c r="F8" s="2"/>
      <c r="G8" s="9"/>
      <c r="H8" s="9"/>
      <c r="I8" s="9"/>
      <c r="J8" s="9"/>
      <c r="K8" s="9"/>
      <c r="L8" s="9"/>
      <c r="M8" s="9"/>
      <c r="N8" s="9"/>
      <c r="O8" s="9"/>
      <c r="P8" s="91"/>
      <c r="Q8" s="91"/>
      <c r="R8" s="91"/>
    </row>
    <row r="9" spans="1:18" ht="15.75" x14ac:dyDescent="0.25">
      <c r="A9" s="90"/>
      <c r="B9" s="2">
        <v>1</v>
      </c>
      <c r="C9" s="2" t="s">
        <v>8</v>
      </c>
      <c r="D9" s="2" t="s">
        <v>9</v>
      </c>
      <c r="E9" s="2" t="s">
        <v>10</v>
      </c>
      <c r="F9" s="2"/>
      <c r="G9" s="9" t="s">
        <v>11</v>
      </c>
      <c r="H9" s="9" t="s">
        <v>31</v>
      </c>
      <c r="I9" s="9"/>
      <c r="J9" s="92">
        <v>0.71048951048951059</v>
      </c>
      <c r="K9" s="92">
        <v>0.69533799533799523</v>
      </c>
      <c r="L9" s="11"/>
      <c r="M9" s="11">
        <v>0.68466898954703836</v>
      </c>
      <c r="N9" s="11">
        <v>0.43972125435540066</v>
      </c>
      <c r="O9" s="9"/>
      <c r="P9" s="91"/>
      <c r="Q9" s="91"/>
      <c r="R9" s="91"/>
    </row>
    <row r="10" spans="1:18" ht="15.75" x14ac:dyDescent="0.25">
      <c r="A10" s="90"/>
      <c r="B10" s="2">
        <v>2</v>
      </c>
      <c r="C10" s="2" t="s">
        <v>12</v>
      </c>
      <c r="D10" s="2" t="s">
        <v>13</v>
      </c>
      <c r="E10" s="2" t="s">
        <v>14</v>
      </c>
      <c r="F10" s="2"/>
      <c r="G10" s="9" t="s">
        <v>15</v>
      </c>
      <c r="H10" s="9" t="s">
        <v>58</v>
      </c>
      <c r="I10" s="9"/>
      <c r="J10" s="92">
        <v>0.2</v>
      </c>
      <c r="K10" s="92">
        <v>0.30769230769230765</v>
      </c>
      <c r="L10" s="11"/>
      <c r="M10" s="11">
        <v>0.27041357370095442</v>
      </c>
      <c r="N10" s="11">
        <v>0.20767055496641923</v>
      </c>
      <c r="O10" s="9"/>
      <c r="P10" s="91"/>
      <c r="Q10" s="91"/>
      <c r="R10" s="91"/>
    </row>
    <row r="11" spans="1:18" ht="15.75" x14ac:dyDescent="0.25">
      <c r="A11" s="90"/>
      <c r="B11" s="2">
        <v>3</v>
      </c>
      <c r="C11" s="2" t="s">
        <v>16</v>
      </c>
      <c r="D11" s="2" t="s">
        <v>78</v>
      </c>
      <c r="E11" s="2" t="s">
        <v>17</v>
      </c>
      <c r="F11" s="2"/>
      <c r="G11" s="9" t="s">
        <v>18</v>
      </c>
      <c r="H11" s="9" t="s">
        <v>9</v>
      </c>
      <c r="I11" s="9"/>
      <c r="J11" s="92">
        <v>0.14125874125874127</v>
      </c>
      <c r="K11" s="92">
        <v>0.13146853146853144</v>
      </c>
      <c r="L11" s="11"/>
      <c r="M11" s="11">
        <v>0.17038327526132405</v>
      </c>
      <c r="N11" s="11">
        <v>0.10905923344947735</v>
      </c>
      <c r="O11" s="9"/>
      <c r="P11" s="91"/>
      <c r="Q11" s="91"/>
      <c r="R11" s="91"/>
    </row>
    <row r="12" spans="1:18" ht="15.75" x14ac:dyDescent="0.25">
      <c r="A12" s="90"/>
      <c r="B12" s="2">
        <v>4</v>
      </c>
      <c r="C12" s="2" t="s">
        <v>19</v>
      </c>
      <c r="D12" s="2" t="s">
        <v>20</v>
      </c>
      <c r="E12" s="2" t="s">
        <v>21</v>
      </c>
      <c r="F12" s="2"/>
      <c r="G12" s="9" t="s">
        <v>10</v>
      </c>
      <c r="H12" s="9" t="s">
        <v>59</v>
      </c>
      <c r="I12" s="9"/>
      <c r="J12" s="92">
        <v>0.54829545454545459</v>
      </c>
      <c r="K12" s="92">
        <v>0.61268939393939392</v>
      </c>
      <c r="L12" s="11"/>
      <c r="M12" s="11">
        <v>0.39010989010989017</v>
      </c>
      <c r="N12" s="11">
        <v>0.31978021978021981</v>
      </c>
      <c r="O12" s="9"/>
      <c r="P12" s="91"/>
      <c r="Q12" s="91"/>
      <c r="R12" s="91"/>
    </row>
    <row r="13" spans="1:18" ht="15.75" x14ac:dyDescent="0.25">
      <c r="A13" s="90"/>
      <c r="B13" s="2">
        <v>5</v>
      </c>
      <c r="C13" s="2" t="s">
        <v>22</v>
      </c>
      <c r="D13" s="2" t="s">
        <v>18</v>
      </c>
      <c r="E13" s="2" t="s">
        <v>23</v>
      </c>
      <c r="F13" s="2"/>
      <c r="G13" s="9" t="s">
        <v>24</v>
      </c>
      <c r="H13" s="9" t="s">
        <v>33</v>
      </c>
      <c r="I13" s="9"/>
      <c r="J13" s="92">
        <v>0.13662044170518747</v>
      </c>
      <c r="K13" s="92">
        <v>0.36183872624550589</v>
      </c>
      <c r="L13" s="11"/>
      <c r="M13" s="11">
        <v>8.6411149825783989E-2</v>
      </c>
      <c r="N13" s="11">
        <v>0.10696864111498258</v>
      </c>
      <c r="O13" s="9"/>
      <c r="P13" s="91"/>
      <c r="Q13" s="91"/>
      <c r="R13" s="91"/>
    </row>
    <row r="14" spans="1:18" ht="15.75" x14ac:dyDescent="0.25">
      <c r="A14" s="90"/>
      <c r="B14" s="2">
        <v>6</v>
      </c>
      <c r="C14" s="2" t="s">
        <v>25</v>
      </c>
      <c r="D14" s="2" t="s">
        <v>26</v>
      </c>
      <c r="E14" s="2" t="s">
        <v>27</v>
      </c>
      <c r="F14" s="2"/>
      <c r="G14" s="9" t="s">
        <v>15</v>
      </c>
      <c r="H14" s="9" t="s">
        <v>13</v>
      </c>
      <c r="I14" s="9"/>
      <c r="J14" s="92">
        <v>0.17925407925407932</v>
      </c>
      <c r="K14" s="92">
        <v>0.19510489510489509</v>
      </c>
      <c r="L14" s="11"/>
      <c r="M14" s="11">
        <v>8.1533101045296208E-2</v>
      </c>
      <c r="N14" s="11">
        <v>0.12090592334494774</v>
      </c>
      <c r="O14" s="9"/>
      <c r="P14" s="91"/>
      <c r="Q14" s="91"/>
      <c r="R14" s="91"/>
    </row>
    <row r="15" spans="1:18" ht="15.75" x14ac:dyDescent="0.25">
      <c r="A15" s="90"/>
      <c r="B15" s="2">
        <v>7</v>
      </c>
      <c r="C15" s="2" t="s">
        <v>28</v>
      </c>
      <c r="D15" s="2" t="s">
        <v>12</v>
      </c>
      <c r="E15" s="2" t="s">
        <v>29</v>
      </c>
      <c r="F15" s="2"/>
      <c r="G15" s="9" t="s">
        <v>30</v>
      </c>
      <c r="H15" s="9" t="s">
        <v>41</v>
      </c>
      <c r="I15" s="9"/>
      <c r="J15" s="92">
        <v>0.46153846153846156</v>
      </c>
      <c r="K15" s="92">
        <v>0.81561771561771557</v>
      </c>
      <c r="L15" s="11"/>
      <c r="M15" s="11">
        <v>0.54459930313588845</v>
      </c>
      <c r="N15" s="11">
        <v>0.83101045296167253</v>
      </c>
      <c r="O15" s="9"/>
      <c r="P15" s="91"/>
      <c r="Q15" s="91"/>
      <c r="R15" s="91"/>
    </row>
    <row r="16" spans="1:18" ht="15.75" x14ac:dyDescent="0.25">
      <c r="A16" s="90"/>
      <c r="B16" s="2">
        <v>8</v>
      </c>
      <c r="C16" s="2" t="s">
        <v>32</v>
      </c>
      <c r="D16" s="2" t="s">
        <v>25</v>
      </c>
      <c r="E16" s="2" t="s">
        <v>31</v>
      </c>
      <c r="F16" s="2"/>
      <c r="G16" s="9" t="s">
        <v>9</v>
      </c>
      <c r="H16" s="9" t="s">
        <v>60</v>
      </c>
      <c r="I16" s="9"/>
      <c r="J16" s="92">
        <v>0.4939393939393939</v>
      </c>
      <c r="K16" s="92">
        <v>0.57179487179487176</v>
      </c>
      <c r="L16" s="11"/>
      <c r="M16" s="11">
        <v>0.25574912891986068</v>
      </c>
      <c r="N16" s="11">
        <v>0.45226480836236932</v>
      </c>
      <c r="O16" s="9"/>
      <c r="P16" s="91"/>
      <c r="Q16" s="91"/>
      <c r="R16" s="91"/>
    </row>
    <row r="17" spans="1:18" ht="15.75" x14ac:dyDescent="0.25">
      <c r="A17" s="90"/>
      <c r="B17" s="2">
        <v>9</v>
      </c>
      <c r="C17" s="2" t="s">
        <v>29</v>
      </c>
      <c r="D17" s="2" t="s">
        <v>33</v>
      </c>
      <c r="E17" s="2" t="s">
        <v>34</v>
      </c>
      <c r="F17" s="2"/>
      <c r="G17" s="9" t="s">
        <v>35</v>
      </c>
      <c r="H17" s="9" t="s">
        <v>61</v>
      </c>
      <c r="I17" s="9"/>
      <c r="J17" s="92">
        <v>6.1538461538461542E-2</v>
      </c>
      <c r="K17" s="92">
        <v>0.16923076923076924</v>
      </c>
      <c r="L17" s="11"/>
      <c r="M17" s="12">
        <v>-8.9947089947089998E-3</v>
      </c>
      <c r="N17" s="11">
        <v>0.2181657848324515</v>
      </c>
      <c r="O17" s="9"/>
      <c r="P17" s="91"/>
      <c r="Q17" s="91"/>
      <c r="R17" s="91"/>
    </row>
    <row r="18" spans="1:18" ht="15.75" x14ac:dyDescent="0.25">
      <c r="A18" s="90"/>
      <c r="B18" s="2">
        <v>10</v>
      </c>
      <c r="C18" s="2" t="s">
        <v>21</v>
      </c>
      <c r="D18" s="2" t="s">
        <v>10</v>
      </c>
      <c r="E18" s="2" t="s">
        <v>36</v>
      </c>
      <c r="F18" s="2"/>
      <c r="G18" s="9" t="s">
        <v>19</v>
      </c>
      <c r="H18" s="9" t="s">
        <v>53</v>
      </c>
      <c r="I18" s="9"/>
      <c r="J18" s="92">
        <v>0.58694638694638701</v>
      </c>
      <c r="K18" s="92">
        <v>0.48275058275058275</v>
      </c>
      <c r="L18" s="11"/>
      <c r="M18" s="11">
        <v>0.55226480836236935</v>
      </c>
      <c r="N18" s="11">
        <v>0.39825783972125434</v>
      </c>
      <c r="O18" s="9"/>
      <c r="P18" s="91"/>
      <c r="Q18" s="91"/>
      <c r="R18" s="91"/>
    </row>
    <row r="19" spans="1:18" ht="15.75" x14ac:dyDescent="0.25">
      <c r="A19" s="90"/>
      <c r="B19" s="2">
        <v>11</v>
      </c>
      <c r="C19" s="2" t="s">
        <v>37</v>
      </c>
      <c r="D19" s="2" t="s">
        <v>38</v>
      </c>
      <c r="E19" s="2" t="s">
        <v>39</v>
      </c>
      <c r="F19" s="2"/>
      <c r="G19" s="9" t="s">
        <v>40</v>
      </c>
      <c r="H19" s="9" t="s">
        <v>62</v>
      </c>
      <c r="I19" s="9"/>
      <c r="J19" s="93">
        <v>-2.7505827505827501E-2</v>
      </c>
      <c r="K19" s="92">
        <v>0.29953379953379949</v>
      </c>
      <c r="L19" s="11"/>
      <c r="M19" s="11">
        <v>0.11916376306620208</v>
      </c>
      <c r="N19" s="11">
        <v>0.1951219512195122</v>
      </c>
      <c r="O19" s="9"/>
      <c r="P19" s="91"/>
      <c r="Q19" s="91"/>
      <c r="R19" s="91"/>
    </row>
    <row r="20" spans="1:18" ht="15.75" x14ac:dyDescent="0.25">
      <c r="A20" s="90"/>
      <c r="B20" s="2">
        <v>12</v>
      </c>
      <c r="C20" s="2" t="s">
        <v>12</v>
      </c>
      <c r="D20" s="2" t="s">
        <v>41</v>
      </c>
      <c r="E20" s="2" t="s">
        <v>42</v>
      </c>
      <c r="F20" s="2"/>
      <c r="G20" s="9" t="s">
        <v>43</v>
      </c>
      <c r="H20" s="9" t="s">
        <v>49</v>
      </c>
      <c r="I20" s="9"/>
      <c r="J20" s="92">
        <v>0.77202797202797213</v>
      </c>
      <c r="K20" s="92">
        <v>0.77226107226107221</v>
      </c>
      <c r="L20" s="11"/>
      <c r="M20" s="11">
        <v>0.50487804878048781</v>
      </c>
      <c r="N20" s="11">
        <v>0.31045296167247388</v>
      </c>
      <c r="O20" s="9"/>
      <c r="P20" s="91"/>
      <c r="Q20" s="91"/>
      <c r="R20" s="91"/>
    </row>
    <row r="21" spans="1:18" ht="15.75" x14ac:dyDescent="0.25">
      <c r="A21" s="90"/>
      <c r="B21" s="2">
        <v>13</v>
      </c>
      <c r="C21" s="2" t="s">
        <v>44</v>
      </c>
      <c r="D21" s="2" t="s">
        <v>45</v>
      </c>
      <c r="E21" s="2" t="s">
        <v>29</v>
      </c>
      <c r="F21" s="2"/>
      <c r="G21" s="9" t="s">
        <v>34</v>
      </c>
      <c r="H21" s="9" t="s">
        <v>20</v>
      </c>
      <c r="I21" s="9"/>
      <c r="J21" s="92">
        <v>0.74079254079254087</v>
      </c>
      <c r="K21" s="92">
        <v>0.33240093240093238</v>
      </c>
      <c r="L21" s="11"/>
      <c r="M21" s="11">
        <v>0.80243902439024395</v>
      </c>
      <c r="N21" s="11">
        <v>0.24912891986062716</v>
      </c>
      <c r="O21" s="9"/>
      <c r="P21" s="91"/>
      <c r="Q21" s="91"/>
      <c r="R21" s="91"/>
    </row>
    <row r="22" spans="1:18" ht="15.75" x14ac:dyDescent="0.25">
      <c r="A22" s="90"/>
      <c r="B22" s="2">
        <v>14</v>
      </c>
      <c r="C22" s="2" t="s">
        <v>17</v>
      </c>
      <c r="D22" s="2" t="s">
        <v>31</v>
      </c>
      <c r="E22" s="2" t="s">
        <v>18</v>
      </c>
      <c r="F22" s="2"/>
      <c r="G22" s="9" t="s">
        <v>33</v>
      </c>
      <c r="H22" s="9" t="s">
        <v>9</v>
      </c>
      <c r="I22" s="9"/>
      <c r="J22" s="92">
        <v>0.4361305361305361</v>
      </c>
      <c r="K22" s="92">
        <v>0.33193473193473194</v>
      </c>
      <c r="L22" s="11"/>
      <c r="M22" s="11">
        <v>0.12239858906525569</v>
      </c>
      <c r="N22" s="11">
        <v>8.0423280423280424E-2</v>
      </c>
      <c r="O22" s="9"/>
      <c r="P22" s="91"/>
      <c r="Q22" s="91"/>
      <c r="R22" s="91"/>
    </row>
    <row r="23" spans="1:18" ht="15.75" x14ac:dyDescent="0.25">
      <c r="A23" s="90"/>
      <c r="B23" s="2">
        <v>15</v>
      </c>
      <c r="C23" s="2" t="s">
        <v>38</v>
      </c>
      <c r="D23" s="2" t="s">
        <v>46</v>
      </c>
      <c r="E23" s="2" t="s">
        <v>30</v>
      </c>
      <c r="F23" s="2"/>
      <c r="G23" s="9" t="s">
        <v>47</v>
      </c>
      <c r="H23" s="9" t="s">
        <v>63</v>
      </c>
      <c r="I23" s="9"/>
      <c r="J23" s="92">
        <v>0.14219114219114221</v>
      </c>
      <c r="K23" s="92">
        <v>0.26596736596736598</v>
      </c>
      <c r="L23" s="11"/>
      <c r="M23" s="11">
        <v>0.25749128919860625</v>
      </c>
      <c r="N23" s="11">
        <v>0.25853658536585361</v>
      </c>
      <c r="O23" s="9"/>
      <c r="P23" s="91"/>
      <c r="Q23" s="91"/>
      <c r="R23" s="91"/>
    </row>
    <row r="24" spans="1:18" ht="15.75" x14ac:dyDescent="0.25">
      <c r="A24" s="90"/>
      <c r="B24" s="2">
        <v>16</v>
      </c>
      <c r="C24" s="2" t="s">
        <v>10</v>
      </c>
      <c r="D24" s="2" t="s">
        <v>8</v>
      </c>
      <c r="E24" s="2" t="s">
        <v>11</v>
      </c>
      <c r="F24" s="2"/>
      <c r="G24" s="9" t="s">
        <v>48</v>
      </c>
      <c r="H24" s="9" t="s">
        <v>19</v>
      </c>
      <c r="I24" s="9"/>
      <c r="J24" s="92">
        <v>0.45174825174825173</v>
      </c>
      <c r="K24" s="92">
        <v>0.4531468531468531</v>
      </c>
      <c r="L24" s="11"/>
      <c r="M24" s="11">
        <v>0.17491289198606275</v>
      </c>
      <c r="N24" s="11">
        <v>8.815331010452962E-2</v>
      </c>
      <c r="O24" s="9"/>
      <c r="P24" s="91"/>
      <c r="Q24" s="91"/>
      <c r="R24" s="91"/>
    </row>
    <row r="25" spans="1:18" ht="15.75" x14ac:dyDescent="0.25">
      <c r="A25" s="90"/>
      <c r="B25" s="2">
        <v>17</v>
      </c>
      <c r="C25" s="2" t="s">
        <v>41</v>
      </c>
      <c r="D25" s="2" t="s">
        <v>36</v>
      </c>
      <c r="E25" s="2" t="s">
        <v>49</v>
      </c>
      <c r="F25" s="2"/>
      <c r="G25" s="9" t="s">
        <v>50</v>
      </c>
      <c r="H25" s="9" t="s">
        <v>12</v>
      </c>
      <c r="I25" s="9"/>
      <c r="J25" s="92">
        <v>0.57202797202797195</v>
      </c>
      <c r="K25" s="92">
        <v>0.39300699300699299</v>
      </c>
      <c r="L25" s="11"/>
      <c r="M25" s="11">
        <v>0.45261324041811846</v>
      </c>
      <c r="N25" s="11">
        <v>0.1289198606271777</v>
      </c>
      <c r="O25" s="9"/>
      <c r="P25" s="91"/>
      <c r="Q25" s="91"/>
      <c r="R25" s="91"/>
    </row>
    <row r="26" spans="1:18" ht="15.75" x14ac:dyDescent="0.25">
      <c r="A26" s="90"/>
      <c r="B26" s="2">
        <v>18</v>
      </c>
      <c r="C26" s="2" t="s">
        <v>51</v>
      </c>
      <c r="D26" s="2" t="s">
        <v>52</v>
      </c>
      <c r="E26" s="2" t="s">
        <v>53</v>
      </c>
      <c r="F26" s="2"/>
      <c r="G26" s="9" t="s">
        <v>54</v>
      </c>
      <c r="H26" s="9" t="s">
        <v>64</v>
      </c>
      <c r="I26" s="9"/>
      <c r="J26" s="92">
        <v>0.24685314685314685</v>
      </c>
      <c r="K26" s="92">
        <v>9.6736596736596736E-2</v>
      </c>
      <c r="L26" s="11"/>
      <c r="M26" s="11">
        <v>0.37560975609756098</v>
      </c>
      <c r="N26" s="11">
        <v>0.11986062717770035</v>
      </c>
      <c r="O26" s="9"/>
      <c r="P26" s="91"/>
      <c r="Q26" s="91"/>
      <c r="R26" s="91"/>
    </row>
    <row r="27" spans="1:18" ht="15.75" x14ac:dyDescent="0.25">
      <c r="A27" s="90"/>
      <c r="B27" s="2">
        <v>19</v>
      </c>
      <c r="C27" s="2" t="s">
        <v>55</v>
      </c>
      <c r="D27" s="2" t="s">
        <v>14</v>
      </c>
      <c r="E27" s="2" t="s">
        <v>56</v>
      </c>
      <c r="F27" s="2"/>
      <c r="G27" s="9" t="s">
        <v>57</v>
      </c>
      <c r="H27" s="9" t="s">
        <v>27</v>
      </c>
      <c r="I27" s="9"/>
      <c r="J27" s="92">
        <v>0.67948717948717952</v>
      </c>
      <c r="K27" s="92">
        <v>0.64965034965034962</v>
      </c>
      <c r="L27" s="11"/>
      <c r="M27" s="11">
        <v>0.52160278745644595</v>
      </c>
      <c r="N27" s="11">
        <v>0.2881533101045296</v>
      </c>
      <c r="O27" s="9"/>
      <c r="P27" s="91"/>
      <c r="Q27" s="91"/>
      <c r="R27" s="91"/>
    </row>
    <row r="28" spans="1:18" ht="15.75" x14ac:dyDescent="0.25">
      <c r="A28" s="90"/>
      <c r="B28" s="2">
        <v>20</v>
      </c>
      <c r="C28" s="2" t="s">
        <v>17</v>
      </c>
      <c r="D28" s="2" t="s">
        <v>78</v>
      </c>
      <c r="E28" s="2" t="s">
        <v>32</v>
      </c>
      <c r="F28" s="2"/>
      <c r="G28" s="9" t="s">
        <v>41</v>
      </c>
      <c r="H28" s="9" t="s">
        <v>9</v>
      </c>
      <c r="I28" s="9"/>
      <c r="J28" s="92">
        <v>0.40482954545454547</v>
      </c>
      <c r="K28" s="92">
        <v>0.19602272727272727</v>
      </c>
      <c r="L28" s="11"/>
      <c r="M28" s="11">
        <v>0.15853658536585369</v>
      </c>
      <c r="N28" s="11">
        <v>7.1777003484320548E-2</v>
      </c>
      <c r="O28" s="9"/>
      <c r="P28" s="91"/>
      <c r="Q28" s="91"/>
      <c r="R28" s="91"/>
    </row>
    <row r="29" spans="1:18" x14ac:dyDescent="0.25">
      <c r="A29" s="90"/>
      <c r="B29" s="90"/>
      <c r="C29" s="90"/>
      <c r="D29" s="90"/>
      <c r="E29" s="90"/>
      <c r="F29" s="90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</row>
    <row r="30" spans="1:18" x14ac:dyDescent="0.25">
      <c r="A30" s="90"/>
      <c r="B30" s="90"/>
      <c r="C30" s="90"/>
      <c r="D30" s="90"/>
      <c r="E30" s="90"/>
      <c r="F30" s="90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</row>
    <row r="31" spans="1:18" x14ac:dyDescent="0.25">
      <c r="A31" s="90"/>
      <c r="B31" s="90"/>
      <c r="C31" s="90"/>
      <c r="D31" s="90"/>
      <c r="E31" s="90"/>
      <c r="F31" s="90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</row>
    <row r="32" spans="1:18" x14ac:dyDescent="0.25">
      <c r="A32" s="90"/>
      <c r="B32" s="90"/>
      <c r="C32" s="90"/>
      <c r="D32" s="90"/>
      <c r="E32" s="90"/>
      <c r="F32" s="90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</row>
    <row r="33" spans="1:18" x14ac:dyDescent="0.25">
      <c r="A33" s="90"/>
      <c r="B33" s="90"/>
      <c r="C33" s="90"/>
      <c r="D33" s="90"/>
      <c r="E33" s="90"/>
      <c r="F33" s="90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</row>
    <row r="34" spans="1:18" x14ac:dyDescent="0.25">
      <c r="A34" s="90"/>
      <c r="B34" s="90"/>
      <c r="C34" s="90"/>
      <c r="D34" s="90"/>
      <c r="E34" s="90"/>
      <c r="F34" s="90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</row>
    <row r="35" spans="1:18" x14ac:dyDescent="0.25">
      <c r="A35" s="90"/>
      <c r="B35" s="94"/>
      <c r="C35" s="94"/>
      <c r="D35" s="94" t="s">
        <v>72</v>
      </c>
      <c r="E35" s="94"/>
      <c r="F35" s="94"/>
      <c r="G35" s="9" t="s">
        <v>7</v>
      </c>
      <c r="H35" s="9"/>
      <c r="I35" s="9"/>
      <c r="J35" s="9" t="s">
        <v>79</v>
      </c>
      <c r="K35" s="9"/>
      <c r="L35" s="91"/>
      <c r="M35" s="91"/>
      <c r="N35" s="91"/>
      <c r="O35" s="91"/>
      <c r="P35" s="91"/>
      <c r="Q35" s="91"/>
      <c r="R35" s="91"/>
    </row>
    <row r="36" spans="1:18" x14ac:dyDescent="0.25">
      <c r="A36" s="90"/>
      <c r="B36" s="94"/>
      <c r="C36" s="94"/>
      <c r="D36" s="94"/>
      <c r="E36" s="94"/>
      <c r="F36" s="94"/>
      <c r="G36" s="9"/>
      <c r="H36" s="9"/>
      <c r="I36" s="9"/>
      <c r="J36" s="9"/>
      <c r="K36" s="9"/>
      <c r="L36" s="91"/>
      <c r="M36" s="91"/>
      <c r="N36" s="91"/>
      <c r="O36" s="91"/>
      <c r="P36" s="91"/>
      <c r="Q36" s="91"/>
      <c r="R36" s="91"/>
    </row>
    <row r="37" spans="1:18" x14ac:dyDescent="0.25">
      <c r="A37" s="90"/>
      <c r="B37" s="94" t="s">
        <v>0</v>
      </c>
      <c r="C37" s="94"/>
      <c r="D37" s="94" t="s">
        <v>6</v>
      </c>
      <c r="E37" s="94" t="s">
        <v>3</v>
      </c>
      <c r="F37" s="94"/>
      <c r="G37" s="9" t="s">
        <v>2</v>
      </c>
      <c r="H37" s="9" t="s">
        <v>3</v>
      </c>
      <c r="I37" s="9"/>
      <c r="J37" s="9" t="s">
        <v>71</v>
      </c>
      <c r="K37" s="9"/>
      <c r="L37" s="9" t="s">
        <v>85</v>
      </c>
      <c r="M37" s="91"/>
      <c r="N37" s="91"/>
      <c r="O37" s="91"/>
      <c r="P37" s="91"/>
      <c r="Q37" s="91"/>
      <c r="R37" s="91"/>
    </row>
    <row r="38" spans="1:18" x14ac:dyDescent="0.25">
      <c r="A38" s="90"/>
      <c r="B38" s="94"/>
      <c r="C38" s="94"/>
      <c r="D38" s="94"/>
      <c r="E38" s="94"/>
      <c r="F38" s="94"/>
      <c r="G38" s="9"/>
      <c r="H38" s="9"/>
      <c r="I38" s="9"/>
      <c r="J38" s="9"/>
      <c r="K38" s="9"/>
      <c r="L38" s="91"/>
      <c r="M38" s="91"/>
      <c r="N38" s="91"/>
      <c r="O38" s="91"/>
      <c r="P38" s="91"/>
      <c r="Q38" s="91"/>
      <c r="R38" s="91"/>
    </row>
    <row r="39" spans="1:18" x14ac:dyDescent="0.25">
      <c r="A39" s="90"/>
      <c r="B39" s="94">
        <v>1</v>
      </c>
      <c r="C39" s="94"/>
      <c r="D39" s="92">
        <v>0.71048951048951059</v>
      </c>
      <c r="E39" s="92">
        <v>0.69533799533799523</v>
      </c>
      <c r="F39" s="5"/>
      <c r="G39" s="95">
        <v>0</v>
      </c>
      <c r="H39" s="96">
        <v>-7.0707070707070718E-2</v>
      </c>
      <c r="I39" s="11"/>
      <c r="J39" s="96">
        <v>-4.6794475365903976E-2</v>
      </c>
      <c r="K39" s="9"/>
      <c r="L39" s="91"/>
      <c r="M39" s="91"/>
      <c r="N39" s="91"/>
      <c r="O39" s="91"/>
      <c r="P39" s="91"/>
      <c r="Q39" s="91"/>
      <c r="R39" s="91"/>
    </row>
    <row r="40" spans="1:18" x14ac:dyDescent="0.25">
      <c r="A40" s="90"/>
      <c r="B40" s="94">
        <v>2</v>
      </c>
      <c r="C40" s="94"/>
      <c r="D40" s="92">
        <v>0.2</v>
      </c>
      <c r="E40" s="92">
        <v>0.30769230769230765</v>
      </c>
      <c r="F40" s="5"/>
      <c r="G40" s="96">
        <v>-5.0505050505050497E-2</v>
      </c>
      <c r="H40" s="17">
        <v>0.29292929292929287</v>
      </c>
      <c r="I40" s="11"/>
      <c r="J40" s="17">
        <v>2.0202020202020166E-2</v>
      </c>
      <c r="K40" s="9"/>
      <c r="L40" s="91"/>
      <c r="M40" s="91"/>
      <c r="N40" s="91"/>
      <c r="O40" s="91"/>
      <c r="P40" s="91"/>
      <c r="Q40" s="91"/>
      <c r="R40" s="91"/>
    </row>
    <row r="41" spans="1:18" x14ac:dyDescent="0.25">
      <c r="A41" s="90"/>
      <c r="B41" s="94">
        <v>3</v>
      </c>
      <c r="C41" s="94"/>
      <c r="D41" s="92">
        <v>0.14125874125874127</v>
      </c>
      <c r="E41" s="92">
        <v>0.13146853146853144</v>
      </c>
      <c r="F41" s="5"/>
      <c r="G41" s="17">
        <v>4.0404040404040331E-2</v>
      </c>
      <c r="H41" s="96">
        <v>-4.0404040404040387E-2</v>
      </c>
      <c r="I41" s="11"/>
      <c r="J41" s="96">
        <v>-7.0707070707070718E-2</v>
      </c>
      <c r="K41" s="9"/>
      <c r="L41" s="91"/>
      <c r="M41" s="91"/>
      <c r="N41" s="91"/>
      <c r="O41" s="91"/>
      <c r="P41" s="91"/>
      <c r="Q41" s="91"/>
      <c r="R41" s="91"/>
    </row>
    <row r="42" spans="1:18" x14ac:dyDescent="0.25">
      <c r="A42" s="90"/>
      <c r="B42" s="94">
        <v>4</v>
      </c>
      <c r="C42" s="94"/>
      <c r="D42" s="92">
        <v>0.54829545454545459</v>
      </c>
      <c r="E42" s="92">
        <v>0.61268939393939392</v>
      </c>
      <c r="F42" s="5"/>
      <c r="G42" s="96">
        <v>-2.0202020202020166E-2</v>
      </c>
      <c r="H42" s="17">
        <v>0.1111111111111111</v>
      </c>
      <c r="I42" s="11"/>
      <c r="J42" s="96">
        <v>-3.5868893011750114E-2</v>
      </c>
      <c r="K42" s="9"/>
      <c r="L42" s="91"/>
      <c r="M42" s="91"/>
      <c r="N42" s="91"/>
      <c r="O42" s="91"/>
      <c r="P42" s="91"/>
      <c r="Q42" s="91"/>
      <c r="R42" s="91"/>
    </row>
    <row r="43" spans="1:18" x14ac:dyDescent="0.25">
      <c r="A43" s="90"/>
      <c r="B43" s="94">
        <v>5</v>
      </c>
      <c r="C43" s="94"/>
      <c r="D43" s="92">
        <v>0.13662044170518747</v>
      </c>
      <c r="E43" s="92">
        <v>0.36183872624550589</v>
      </c>
      <c r="F43" s="5"/>
      <c r="G43" s="96">
        <v>-4.0404040404040387E-2</v>
      </c>
      <c r="H43" s="17">
        <v>0.29292929292929298</v>
      </c>
      <c r="I43" s="11"/>
      <c r="J43" s="96">
        <v>-0.10101010101010105</v>
      </c>
      <c r="K43" s="9"/>
      <c r="L43" s="91"/>
      <c r="M43" s="91"/>
      <c r="N43" s="91"/>
      <c r="O43" s="91"/>
      <c r="P43" s="91"/>
      <c r="Q43" s="91"/>
      <c r="R43" s="91"/>
    </row>
    <row r="44" spans="1:18" x14ac:dyDescent="0.25">
      <c r="A44" s="90"/>
      <c r="B44" s="94">
        <v>6</v>
      </c>
      <c r="C44" s="94"/>
      <c r="D44" s="92">
        <v>0.17925407925407932</v>
      </c>
      <c r="E44" s="92">
        <v>0.19510489510489509</v>
      </c>
      <c r="F44" s="5"/>
      <c r="G44" s="96">
        <v>-0.1106988249845392</v>
      </c>
      <c r="H44" s="96">
        <v>-7.0500927643784794E-2</v>
      </c>
      <c r="I44" s="11"/>
      <c r="J44" s="96">
        <v>-7.0707070707070718E-2</v>
      </c>
      <c r="K44" s="9"/>
      <c r="L44" s="91"/>
      <c r="M44" s="91"/>
      <c r="N44" s="91"/>
      <c r="O44" s="91"/>
      <c r="P44" s="91"/>
      <c r="Q44" s="91"/>
      <c r="R44" s="91"/>
    </row>
    <row r="45" spans="1:18" x14ac:dyDescent="0.25">
      <c r="A45" s="90"/>
      <c r="B45" s="94">
        <v>7</v>
      </c>
      <c r="C45" s="94"/>
      <c r="D45" s="92">
        <v>0.46153846153846156</v>
      </c>
      <c r="E45" s="92">
        <v>0.81561771561771557</v>
      </c>
      <c r="F45" s="5"/>
      <c r="G45" s="17">
        <v>6.0606060606060601E-2</v>
      </c>
      <c r="H45" s="17">
        <v>0.54545454545454553</v>
      </c>
      <c r="I45" s="11"/>
      <c r="J45" s="17">
        <v>5.998763141620285E-2</v>
      </c>
      <c r="K45" s="9"/>
      <c r="L45" s="91"/>
      <c r="M45" s="91"/>
      <c r="N45" s="91"/>
      <c r="O45" s="91"/>
      <c r="P45" s="91"/>
      <c r="Q45" s="91"/>
      <c r="R45" s="91"/>
    </row>
    <row r="46" spans="1:18" x14ac:dyDescent="0.25">
      <c r="A46" s="90"/>
      <c r="B46" s="94">
        <v>8</v>
      </c>
      <c r="C46" s="94"/>
      <c r="D46" s="92">
        <v>0.4939393939393939</v>
      </c>
      <c r="E46" s="92">
        <v>0.57179487179487176</v>
      </c>
      <c r="F46" s="5"/>
      <c r="G46" s="17">
        <v>0.19944341372912799</v>
      </c>
      <c r="H46" s="96">
        <v>-1.628530199958772E-2</v>
      </c>
      <c r="I46" s="11"/>
      <c r="J46" s="96">
        <v>-8.5446299732014008E-2</v>
      </c>
      <c r="K46" s="9"/>
      <c r="L46" s="91"/>
      <c r="M46" s="91"/>
      <c r="N46" s="91"/>
      <c r="O46" s="91"/>
      <c r="P46" s="91"/>
      <c r="Q46" s="91"/>
      <c r="R46" s="91"/>
    </row>
    <row r="47" spans="1:18" x14ac:dyDescent="0.25">
      <c r="A47" s="90"/>
      <c r="B47" s="94">
        <v>9</v>
      </c>
      <c r="C47" s="94"/>
      <c r="D47" s="92">
        <v>6.1538461538461542E-2</v>
      </c>
      <c r="E47" s="92">
        <v>0.16923076923076924</v>
      </c>
      <c r="F47" s="5"/>
      <c r="G47" s="17">
        <v>5.0505050505050497E-2</v>
      </c>
      <c r="H47" s="17">
        <v>8.0808080808080801E-2</v>
      </c>
      <c r="I47" s="11"/>
      <c r="J47" s="17">
        <v>7.0707070707070718E-2</v>
      </c>
      <c r="K47" s="9"/>
      <c r="L47" s="91"/>
      <c r="M47" s="91"/>
      <c r="N47" s="91"/>
      <c r="O47" s="91"/>
      <c r="P47" s="91"/>
      <c r="Q47" s="91"/>
      <c r="R47" s="91"/>
    </row>
    <row r="48" spans="1:18" x14ac:dyDescent="0.25">
      <c r="A48" s="90"/>
      <c r="B48" s="94">
        <v>10</v>
      </c>
      <c r="C48" s="94"/>
      <c r="D48" s="92">
        <v>0.58694638694638701</v>
      </c>
      <c r="E48" s="92">
        <v>0.48275058275058275</v>
      </c>
      <c r="F48" s="5"/>
      <c r="G48" s="17">
        <v>0.25716347144918572</v>
      </c>
      <c r="H48" s="17">
        <v>6.1636775922490207E-2</v>
      </c>
      <c r="I48" s="11"/>
      <c r="J48" s="17">
        <v>1.0101010101010055E-2</v>
      </c>
      <c r="K48" s="9"/>
      <c r="L48" s="91"/>
      <c r="M48" s="91"/>
      <c r="N48" s="91"/>
      <c r="O48" s="91"/>
      <c r="P48" s="91"/>
      <c r="Q48" s="91"/>
      <c r="R48" s="91"/>
    </row>
    <row r="49" spans="1:18" x14ac:dyDescent="0.25">
      <c r="A49" s="90"/>
      <c r="B49" s="94">
        <v>11</v>
      </c>
      <c r="C49" s="94"/>
      <c r="D49" s="93">
        <v>-2.7505827505827501E-2</v>
      </c>
      <c r="E49" s="92">
        <v>0.29953379953379949</v>
      </c>
      <c r="F49" s="5"/>
      <c r="G49" s="96">
        <v>-0.24242424242424243</v>
      </c>
      <c r="H49" s="17">
        <v>0.25252525252525254</v>
      </c>
      <c r="I49" s="11"/>
      <c r="J49" s="96">
        <v>-0.13131313131313133</v>
      </c>
      <c r="K49" s="9"/>
      <c r="L49" s="91"/>
      <c r="M49" s="91"/>
      <c r="N49" s="91"/>
      <c r="O49" s="91"/>
      <c r="P49" s="91"/>
      <c r="Q49" s="91"/>
      <c r="R49" s="91"/>
    </row>
    <row r="50" spans="1:18" x14ac:dyDescent="0.25">
      <c r="A50" s="90"/>
      <c r="B50" s="94">
        <v>12</v>
      </c>
      <c r="C50" s="94"/>
      <c r="D50" s="92">
        <v>0.77202797202797213</v>
      </c>
      <c r="E50" s="92">
        <v>0.77226107226107221</v>
      </c>
      <c r="F50" s="5"/>
      <c r="G50" s="17">
        <v>1.6182230467944758E-2</v>
      </c>
      <c r="H50" s="17">
        <v>0.14574314574314573</v>
      </c>
      <c r="I50" s="11"/>
      <c r="J50" s="17">
        <v>5.0505050505050553E-2</v>
      </c>
      <c r="K50" s="9"/>
      <c r="L50" s="91"/>
      <c r="M50" s="91"/>
      <c r="N50" s="91"/>
      <c r="O50" s="91"/>
      <c r="P50" s="91"/>
      <c r="Q50" s="91"/>
      <c r="R50" s="91"/>
    </row>
    <row r="51" spans="1:18" x14ac:dyDescent="0.25">
      <c r="A51" s="90"/>
      <c r="B51" s="94">
        <v>13</v>
      </c>
      <c r="C51" s="94"/>
      <c r="D51" s="92">
        <v>0.74079254079254087</v>
      </c>
      <c r="E51" s="92">
        <v>0.33240093240093238</v>
      </c>
      <c r="F51" s="5"/>
      <c r="G51" s="17">
        <v>0.1323232323232324</v>
      </c>
      <c r="H51" s="96">
        <v>0</v>
      </c>
      <c r="I51" s="11"/>
      <c r="J51" s="96">
        <v>-1.0204081632653073E-2</v>
      </c>
      <c r="K51" s="9"/>
      <c r="L51" s="91"/>
      <c r="M51" s="91"/>
      <c r="N51" s="91"/>
      <c r="O51" s="91"/>
      <c r="P51" s="91"/>
      <c r="Q51" s="91"/>
      <c r="R51" s="91"/>
    </row>
    <row r="52" spans="1:18" x14ac:dyDescent="0.25">
      <c r="A52" s="90"/>
      <c r="B52" s="94">
        <v>14</v>
      </c>
      <c r="C52" s="94"/>
      <c r="D52" s="92">
        <v>0.4361305361305361</v>
      </c>
      <c r="E52" s="92">
        <v>0.33193473193473194</v>
      </c>
      <c r="F52" s="5"/>
      <c r="G52" s="17">
        <v>1.2323232323232403E-2</v>
      </c>
      <c r="H52" s="17">
        <v>4.0606060606060604E-2</v>
      </c>
      <c r="I52" s="11"/>
      <c r="J52" s="96">
        <v>-1.9583591012162449E-2</v>
      </c>
      <c r="K52" s="9"/>
      <c r="L52" s="91"/>
      <c r="M52" s="91"/>
      <c r="N52" s="91"/>
      <c r="O52" s="91"/>
      <c r="P52" s="91"/>
      <c r="Q52" s="91"/>
      <c r="R52" s="91"/>
    </row>
    <row r="53" spans="1:18" x14ac:dyDescent="0.25">
      <c r="A53" s="90"/>
      <c r="B53" s="94">
        <v>15</v>
      </c>
      <c r="C53" s="94"/>
      <c r="D53" s="92">
        <v>0.14219114219114221</v>
      </c>
      <c r="E53" s="92">
        <v>0.26596736596736598</v>
      </c>
      <c r="F53" s="5"/>
      <c r="G53" s="17">
        <v>9.8181818181818203E-2</v>
      </c>
      <c r="H53" s="17">
        <v>0.1357575757575758</v>
      </c>
      <c r="I53" s="11"/>
      <c r="J53" s="17">
        <v>4.0404040404040387E-2</v>
      </c>
      <c r="K53" s="9"/>
      <c r="L53" s="91"/>
      <c r="M53" s="91"/>
      <c r="N53" s="91"/>
      <c r="O53" s="91"/>
      <c r="P53" s="91"/>
      <c r="Q53" s="91"/>
      <c r="R53" s="91"/>
    </row>
    <row r="54" spans="1:18" x14ac:dyDescent="0.25">
      <c r="A54" s="90"/>
      <c r="B54" s="94">
        <v>16</v>
      </c>
      <c r="C54" s="94"/>
      <c r="D54" s="92">
        <v>0.45174825174825173</v>
      </c>
      <c r="E54" s="92">
        <v>0.4531468531468531</v>
      </c>
      <c r="F54" s="5"/>
      <c r="G54" s="17">
        <v>0.19515151515151519</v>
      </c>
      <c r="H54" s="17">
        <v>0.16383838383838381</v>
      </c>
      <c r="I54" s="11"/>
      <c r="J54" s="17">
        <v>0.12121212121212122</v>
      </c>
      <c r="K54" s="9"/>
      <c r="L54" s="91"/>
      <c r="M54" s="91"/>
      <c r="N54" s="91"/>
      <c r="O54" s="91"/>
      <c r="P54" s="91"/>
      <c r="Q54" s="91"/>
      <c r="R54" s="91"/>
    </row>
    <row r="55" spans="1:18" x14ac:dyDescent="0.25">
      <c r="A55" s="90"/>
      <c r="B55" s="94">
        <v>17</v>
      </c>
      <c r="C55" s="94"/>
      <c r="D55" s="92">
        <v>0.57202797202797195</v>
      </c>
      <c r="E55" s="92">
        <v>0.39300699300699299</v>
      </c>
      <c r="F55" s="5"/>
      <c r="G55" s="96">
        <v>-9.3636363636363629E-2</v>
      </c>
      <c r="H55" s="17">
        <v>0.19474747474747472</v>
      </c>
      <c r="I55" s="11"/>
      <c r="J55" s="96">
        <v>-1.4533085961657366E-2</v>
      </c>
      <c r="K55" s="9"/>
      <c r="L55" s="91"/>
      <c r="M55" s="91"/>
      <c r="N55" s="91"/>
      <c r="O55" s="91"/>
      <c r="P55" s="91"/>
      <c r="Q55" s="91"/>
      <c r="R55" s="91"/>
    </row>
    <row r="56" spans="1:18" x14ac:dyDescent="0.25">
      <c r="A56" s="90"/>
      <c r="B56" s="94">
        <v>18</v>
      </c>
      <c r="C56" s="94"/>
      <c r="D56" s="92">
        <v>0.24685314685314685</v>
      </c>
      <c r="E56" s="92">
        <v>9.6736596736596736E-2</v>
      </c>
      <c r="F56" s="5"/>
      <c r="G56" s="17">
        <v>0.26797979797979798</v>
      </c>
      <c r="H56" s="96">
        <v>-0.1677777777777778</v>
      </c>
      <c r="I56" s="11"/>
      <c r="J56" s="96">
        <v>-8.0808080808080884E-2</v>
      </c>
      <c r="K56" s="9"/>
      <c r="L56" s="91"/>
      <c r="M56" s="91"/>
      <c r="N56" s="91"/>
      <c r="O56" s="91"/>
      <c r="P56" s="91"/>
      <c r="Q56" s="91"/>
      <c r="R56" s="91"/>
    </row>
    <row r="57" spans="1:18" x14ac:dyDescent="0.25">
      <c r="A57" s="90"/>
      <c r="B57" s="94">
        <v>19</v>
      </c>
      <c r="C57" s="94"/>
      <c r="D57" s="92">
        <v>0.67948717948717952</v>
      </c>
      <c r="E57" s="92">
        <v>0.64965034965034962</v>
      </c>
      <c r="F57" s="5"/>
      <c r="G57" s="96">
        <v>-2.56565656565656E-2</v>
      </c>
      <c r="H57" s="17">
        <v>6.3434343434343399E-2</v>
      </c>
      <c r="I57" s="11"/>
      <c r="J57" s="96">
        <v>-3.700267985982264E-2</v>
      </c>
      <c r="K57" s="9"/>
      <c r="L57" s="91"/>
      <c r="M57" s="91"/>
      <c r="N57" s="91"/>
      <c r="O57" s="91"/>
      <c r="P57" s="91"/>
      <c r="Q57" s="91"/>
      <c r="R57" s="91"/>
    </row>
    <row r="58" spans="1:18" x14ac:dyDescent="0.25">
      <c r="A58" s="90"/>
      <c r="B58" s="94">
        <v>20</v>
      </c>
      <c r="C58" s="94"/>
      <c r="D58" s="92">
        <v>0.40482954545454547</v>
      </c>
      <c r="E58" s="92">
        <v>0.19602272727272727</v>
      </c>
      <c r="F58" s="5"/>
      <c r="G58" s="17">
        <v>8.181818181818179E-2</v>
      </c>
      <c r="H58" s="96">
        <v>-4.9696969696969698E-2</v>
      </c>
      <c r="I58" s="11"/>
      <c r="J58" s="96">
        <v>-2.9993815708101335E-2</v>
      </c>
      <c r="K58" s="9"/>
      <c r="L58" s="91"/>
      <c r="M58" s="91"/>
      <c r="N58" s="91"/>
      <c r="O58" s="91"/>
      <c r="P58" s="91"/>
      <c r="Q58" s="91"/>
      <c r="R58" s="91"/>
    </row>
    <row r="59" spans="1:18" x14ac:dyDescent="0.25">
      <c r="A59" s="90"/>
      <c r="B59" s="94"/>
      <c r="C59" s="94"/>
      <c r="D59" s="5"/>
      <c r="E59" s="5"/>
      <c r="F59" s="5"/>
      <c r="G59" s="11"/>
      <c r="H59" s="11"/>
      <c r="I59" s="11"/>
      <c r="J59" s="11"/>
      <c r="K59" s="9"/>
      <c r="L59" s="91"/>
      <c r="M59" s="91"/>
      <c r="N59" s="91"/>
      <c r="O59" s="91"/>
      <c r="P59" s="91"/>
      <c r="Q59" s="91"/>
      <c r="R59" s="91"/>
    </row>
    <row r="60" spans="1:18" x14ac:dyDescent="0.25">
      <c r="A60" s="90"/>
      <c r="B60" s="94" t="s">
        <v>80</v>
      </c>
      <c r="C60" s="94"/>
      <c r="D60" s="5">
        <f>AVERAGE(D39:D58)</f>
        <v>0.39692316952115692</v>
      </c>
      <c r="E60" s="5">
        <f>AVERAGE(E39:E58)</f>
        <v>0.40670936055469947</v>
      </c>
      <c r="F60" s="5"/>
      <c r="G60" s="17">
        <v>5.6399999999999999E-2</v>
      </c>
      <c r="H60" s="17">
        <v>9.8299999999999998E-2</v>
      </c>
      <c r="I60" s="11"/>
      <c r="J60" s="96">
        <v>-1.21E-2</v>
      </c>
      <c r="K60" s="17"/>
      <c r="L60" s="91"/>
      <c r="M60" s="91"/>
      <c r="N60" s="91"/>
      <c r="O60" s="91"/>
      <c r="P60" s="91"/>
      <c r="Q60" s="91"/>
      <c r="R60" s="91"/>
    </row>
    <row r="61" spans="1:18" x14ac:dyDescent="0.25">
      <c r="A61" s="90"/>
      <c r="B61" s="94"/>
      <c r="C61" s="94"/>
      <c r="D61" s="94"/>
      <c r="E61" s="94"/>
      <c r="F61" s="94"/>
      <c r="G61" s="11"/>
      <c r="H61" s="11"/>
      <c r="I61" s="9"/>
      <c r="J61" s="11"/>
      <c r="K61" s="9"/>
      <c r="L61" s="91"/>
      <c r="M61" s="91"/>
      <c r="N61" s="91"/>
      <c r="O61" s="91"/>
      <c r="P61" s="91"/>
      <c r="Q61" s="91"/>
      <c r="R61" s="91"/>
    </row>
    <row r="62" spans="1:18" ht="16.5" customHeight="1" x14ac:dyDescent="0.25">
      <c r="A62" s="90"/>
      <c r="B62" s="90"/>
      <c r="C62" s="90"/>
      <c r="D62" s="90"/>
      <c r="E62" s="90"/>
      <c r="F62" s="90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</row>
    <row r="63" spans="1:18" x14ac:dyDescent="0.25">
      <c r="A63" s="90"/>
      <c r="B63" s="94"/>
      <c r="C63" s="94"/>
      <c r="D63" s="94" t="s">
        <v>73</v>
      </c>
      <c r="E63" s="94"/>
      <c r="F63" s="94"/>
      <c r="G63" s="9" t="s">
        <v>7</v>
      </c>
      <c r="H63" s="9"/>
      <c r="I63" s="9"/>
      <c r="J63" s="9" t="s">
        <v>79</v>
      </c>
      <c r="K63" s="9"/>
      <c r="L63" s="91"/>
      <c r="M63" s="91"/>
      <c r="N63" s="91"/>
      <c r="O63" s="91"/>
      <c r="P63" s="91"/>
      <c r="Q63" s="91"/>
      <c r="R63" s="91"/>
    </row>
    <row r="64" spans="1:18" x14ac:dyDescent="0.25">
      <c r="A64" s="90"/>
      <c r="B64" s="94"/>
      <c r="C64" s="94"/>
      <c r="D64" s="94"/>
      <c r="E64" s="94"/>
      <c r="F64" s="94"/>
      <c r="G64" s="9"/>
      <c r="H64" s="9"/>
      <c r="I64" s="9"/>
      <c r="J64" s="9"/>
      <c r="K64" s="9"/>
      <c r="L64" s="91"/>
      <c r="M64" s="91"/>
      <c r="N64" s="91"/>
      <c r="O64" s="91"/>
      <c r="P64" s="91"/>
      <c r="Q64" s="91"/>
      <c r="R64" s="91"/>
    </row>
    <row r="65" spans="1:18" x14ac:dyDescent="0.25">
      <c r="A65" s="90"/>
      <c r="B65" s="94" t="s">
        <v>0</v>
      </c>
      <c r="C65" s="94"/>
      <c r="D65" s="94" t="s">
        <v>6</v>
      </c>
      <c r="E65" s="94" t="s">
        <v>3</v>
      </c>
      <c r="F65" s="94"/>
      <c r="G65" s="9" t="s">
        <v>2</v>
      </c>
      <c r="H65" s="9" t="s">
        <v>3</v>
      </c>
      <c r="I65" s="9"/>
      <c r="J65" s="9" t="s">
        <v>71</v>
      </c>
      <c r="K65" s="9"/>
      <c r="L65" s="9" t="s">
        <v>85</v>
      </c>
      <c r="M65" s="91"/>
      <c r="N65" s="91"/>
      <c r="O65" s="91"/>
      <c r="P65" s="91"/>
      <c r="Q65" s="91"/>
      <c r="R65" s="91"/>
    </row>
    <row r="66" spans="1:18" x14ac:dyDescent="0.25">
      <c r="A66" s="90"/>
      <c r="B66" s="94"/>
      <c r="C66" s="94"/>
      <c r="D66" s="94"/>
      <c r="E66" s="94"/>
      <c r="F66" s="94"/>
      <c r="G66" s="9"/>
      <c r="H66" s="9"/>
      <c r="I66" s="9"/>
      <c r="J66" s="9"/>
      <c r="K66" s="9"/>
      <c r="L66" s="91"/>
      <c r="M66" s="91"/>
      <c r="N66" s="91"/>
      <c r="O66" s="91"/>
      <c r="P66" s="91"/>
      <c r="Q66" s="91"/>
      <c r="R66" s="91"/>
    </row>
    <row r="67" spans="1:18" x14ac:dyDescent="0.25">
      <c r="A67" s="90"/>
      <c r="B67" s="94">
        <v>1</v>
      </c>
      <c r="C67" s="90"/>
      <c r="D67" s="97">
        <v>0.68466898954703836</v>
      </c>
      <c r="E67" s="97">
        <v>0.43972125435540066</v>
      </c>
      <c r="F67" s="90"/>
      <c r="G67" s="98">
        <v>0.13552605508222704</v>
      </c>
      <c r="H67" s="99">
        <v>-8.579354071725781E-2</v>
      </c>
      <c r="I67" s="91"/>
      <c r="J67" s="98">
        <v>3.8934020210025788E-2</v>
      </c>
      <c r="K67" s="91"/>
      <c r="L67" s="100"/>
      <c r="M67" s="91"/>
      <c r="N67" s="91"/>
      <c r="O67" s="91"/>
      <c r="P67" s="91"/>
      <c r="Q67" s="91"/>
      <c r="R67" s="91"/>
    </row>
    <row r="68" spans="1:18" x14ac:dyDescent="0.25">
      <c r="A68" s="90"/>
      <c r="B68" s="94">
        <v>2</v>
      </c>
      <c r="C68" s="90"/>
      <c r="D68" s="97">
        <v>0.27041357370095442</v>
      </c>
      <c r="E68" s="97">
        <v>0.20767055496641923</v>
      </c>
      <c r="F68" s="90"/>
      <c r="G68" s="99">
        <v>-0.10085199128194969</v>
      </c>
      <c r="H68" s="98">
        <v>0.28016643550624137</v>
      </c>
      <c r="I68" s="91"/>
      <c r="J68" s="98">
        <v>4.3986526649494762E-2</v>
      </c>
      <c r="K68" s="91"/>
      <c r="L68" s="100"/>
      <c r="M68" s="91"/>
      <c r="N68" s="91"/>
      <c r="O68" s="91"/>
      <c r="P68" s="91"/>
      <c r="Q68" s="91"/>
      <c r="R68" s="91"/>
    </row>
    <row r="69" spans="1:18" x14ac:dyDescent="0.25">
      <c r="A69" s="90"/>
      <c r="B69" s="94">
        <v>3</v>
      </c>
      <c r="C69" s="90"/>
      <c r="D69" s="97">
        <v>0.17038327526132405</v>
      </c>
      <c r="E69" s="97">
        <v>0.10905923344947735</v>
      </c>
      <c r="F69" s="90"/>
      <c r="G69" s="98">
        <v>5.0921339409550237E-2</v>
      </c>
      <c r="H69" s="99">
        <v>-3.1999207449970313E-2</v>
      </c>
      <c r="I69" s="101"/>
      <c r="J69" s="98">
        <v>6.0134733505052496E-2</v>
      </c>
      <c r="K69" s="91"/>
      <c r="L69" s="100"/>
      <c r="M69" s="91"/>
      <c r="N69" s="91"/>
      <c r="O69" s="91"/>
      <c r="P69" s="91"/>
      <c r="Q69" s="91"/>
      <c r="R69" s="91"/>
    </row>
    <row r="70" spans="1:18" x14ac:dyDescent="0.25">
      <c r="A70" s="90"/>
      <c r="B70" s="94">
        <v>4</v>
      </c>
      <c r="C70" s="90"/>
      <c r="D70" s="97">
        <v>0.39010989010989017</v>
      </c>
      <c r="E70" s="97">
        <v>0.31978021978021981</v>
      </c>
      <c r="F70" s="90"/>
      <c r="G70" s="99">
        <v>-7.7471765405191184E-2</v>
      </c>
      <c r="H70" s="98">
        <v>1.0600356647513354E-2</v>
      </c>
      <c r="I70" s="91"/>
      <c r="J70" s="99">
        <v>-0.10164454131167028</v>
      </c>
      <c r="K70" s="91"/>
      <c r="L70" s="100"/>
      <c r="M70" s="91"/>
      <c r="N70" s="91"/>
      <c r="O70" s="91"/>
      <c r="P70" s="91"/>
      <c r="Q70" s="91"/>
      <c r="R70" s="91"/>
    </row>
    <row r="71" spans="1:18" x14ac:dyDescent="0.25">
      <c r="A71" s="90"/>
      <c r="B71" s="94">
        <v>5</v>
      </c>
      <c r="C71" s="90"/>
      <c r="D71" s="97">
        <v>8.6411149825783989E-2</v>
      </c>
      <c r="E71" s="97">
        <v>0.10696864111498258</v>
      </c>
      <c r="F71" s="90"/>
      <c r="G71" s="99">
        <v>-0.16960570636021399</v>
      </c>
      <c r="H71" s="99">
        <v>-7.6084802853180145E-2</v>
      </c>
      <c r="I71" s="91"/>
      <c r="J71" s="99">
        <v>-0.10689518525856945</v>
      </c>
      <c r="K71" s="91"/>
      <c r="L71" s="100"/>
      <c r="M71" s="91"/>
      <c r="N71" s="91"/>
      <c r="O71" s="91"/>
      <c r="P71" s="91"/>
      <c r="Q71" s="91"/>
      <c r="R71" s="91"/>
    </row>
    <row r="72" spans="1:18" x14ac:dyDescent="0.25">
      <c r="A72" s="90"/>
      <c r="B72" s="94">
        <v>6</v>
      </c>
      <c r="C72" s="90"/>
      <c r="D72" s="97">
        <v>8.1533101045296208E-2</v>
      </c>
      <c r="E72" s="97">
        <v>0.12090592334494774</v>
      </c>
      <c r="F72" s="90"/>
      <c r="G72" s="99">
        <v>-9.1242322171587009E-2</v>
      </c>
      <c r="H72" s="98">
        <v>0.16633643748761642</v>
      </c>
      <c r="I72" s="91"/>
      <c r="J72" s="98">
        <v>4.5571626708935664E-3</v>
      </c>
      <c r="K72" s="91"/>
      <c r="L72" s="100"/>
      <c r="M72" s="91"/>
      <c r="N72" s="91"/>
      <c r="O72" s="91"/>
      <c r="P72" s="91"/>
      <c r="Q72" s="91"/>
      <c r="R72" s="91"/>
    </row>
    <row r="73" spans="1:18" x14ac:dyDescent="0.25">
      <c r="A73" s="90"/>
      <c r="B73" s="94">
        <v>7</v>
      </c>
      <c r="C73" s="90"/>
      <c r="D73" s="97">
        <v>0.54459930313588845</v>
      </c>
      <c r="E73" s="97">
        <v>0.83101045296167253</v>
      </c>
      <c r="F73" s="90"/>
      <c r="G73" s="98">
        <v>4.0519120269467024E-2</v>
      </c>
      <c r="H73" s="98">
        <v>0.40558747770953046</v>
      </c>
      <c r="I73" s="91"/>
      <c r="J73" s="98">
        <v>1.0105012878938002E-2</v>
      </c>
      <c r="K73" s="91"/>
      <c r="L73" s="100"/>
      <c r="M73" s="91"/>
      <c r="N73" s="91"/>
      <c r="O73" s="91"/>
      <c r="P73" s="91"/>
      <c r="Q73" s="91"/>
      <c r="R73" s="91"/>
    </row>
    <row r="74" spans="1:18" x14ac:dyDescent="0.25">
      <c r="A74" s="90"/>
      <c r="B74" s="94">
        <v>8</v>
      </c>
      <c r="C74" s="90"/>
      <c r="D74" s="97">
        <v>0.25574912891986068</v>
      </c>
      <c r="E74" s="97">
        <v>0.45226480836236932</v>
      </c>
      <c r="F74" s="90"/>
      <c r="G74" s="98">
        <v>1.7634238161283927E-2</v>
      </c>
      <c r="H74" s="99">
        <v>-2.1002575787596678E-2</v>
      </c>
      <c r="I74" s="91"/>
      <c r="J74" s="99">
        <v>-6.7763027541113519E-2</v>
      </c>
      <c r="K74" s="91"/>
      <c r="L74" s="100"/>
      <c r="M74" s="91"/>
      <c r="N74" s="91"/>
      <c r="O74" s="91"/>
      <c r="P74" s="91"/>
      <c r="Q74" s="91"/>
      <c r="R74" s="91"/>
    </row>
    <row r="75" spans="1:18" x14ac:dyDescent="0.25">
      <c r="A75" s="90"/>
      <c r="B75" s="94">
        <v>9</v>
      </c>
      <c r="C75" s="90"/>
      <c r="D75" s="97">
        <v>-8.9947089947089998E-3</v>
      </c>
      <c r="E75" s="97">
        <v>0.2181657848324515</v>
      </c>
      <c r="F75" s="90"/>
      <c r="G75" s="98">
        <v>3.6061026352288486E-2</v>
      </c>
      <c r="H75" s="98">
        <v>0.151872399445215</v>
      </c>
      <c r="I75" s="91"/>
      <c r="J75" s="98">
        <v>1.7337031900138689E-2</v>
      </c>
      <c r="K75" s="91"/>
      <c r="L75" s="100"/>
      <c r="M75" s="91"/>
      <c r="N75" s="91"/>
      <c r="O75" s="91"/>
      <c r="P75" s="91"/>
      <c r="Q75" s="91"/>
      <c r="R75" s="91"/>
    </row>
    <row r="76" spans="1:18" x14ac:dyDescent="0.25">
      <c r="A76" s="90"/>
      <c r="B76" s="94">
        <v>10</v>
      </c>
      <c r="C76" s="90"/>
      <c r="D76" s="97">
        <v>0.55226480836236935</v>
      </c>
      <c r="E76" s="97">
        <v>0.39825783972125434</v>
      </c>
      <c r="F76" s="90"/>
      <c r="G76" s="99">
        <v>-7.7273627897761044E-2</v>
      </c>
      <c r="H76" s="98">
        <v>0.28531801069942542</v>
      </c>
      <c r="I76" s="91"/>
      <c r="J76" s="98">
        <v>1.0897562908659397E-3</v>
      </c>
      <c r="K76" s="91"/>
      <c r="L76" s="100"/>
      <c r="M76" s="91"/>
      <c r="N76" s="91"/>
      <c r="O76" s="91"/>
      <c r="P76" s="91"/>
      <c r="Q76" s="91"/>
      <c r="R76" s="91"/>
    </row>
    <row r="77" spans="1:18" x14ac:dyDescent="0.25">
      <c r="A77" s="90"/>
      <c r="B77" s="94">
        <v>11</v>
      </c>
      <c r="C77" s="90"/>
      <c r="D77" s="97">
        <v>0.11916376306620208</v>
      </c>
      <c r="E77" s="97">
        <v>0.1951219512195122</v>
      </c>
      <c r="F77" s="90"/>
      <c r="G77" s="99">
        <v>-0.11729740439865263</v>
      </c>
      <c r="H77" s="99">
        <v>-2.2785813354467999E-2</v>
      </c>
      <c r="I77" s="91"/>
      <c r="J77" s="98">
        <v>6.0630077273627903E-2</v>
      </c>
      <c r="K77" s="91"/>
      <c r="L77" s="100"/>
      <c r="M77" s="91"/>
      <c r="N77" s="91"/>
      <c r="O77" s="91"/>
      <c r="P77" s="91"/>
      <c r="Q77" s="91"/>
      <c r="R77" s="91"/>
    </row>
    <row r="78" spans="1:18" x14ac:dyDescent="0.25">
      <c r="A78" s="90"/>
      <c r="B78" s="94">
        <v>12</v>
      </c>
      <c r="C78" s="90"/>
      <c r="D78" s="97">
        <v>0.50487804878048781</v>
      </c>
      <c r="E78" s="97">
        <v>0.31045296167247388</v>
      </c>
      <c r="F78" s="90"/>
      <c r="G78" s="98">
        <v>3.0513176144244092E-2</v>
      </c>
      <c r="H78" s="98">
        <v>8.6487021993263302E-2</v>
      </c>
      <c r="I78" s="91"/>
      <c r="J78" s="98">
        <v>8.1533584307509399E-2</v>
      </c>
      <c r="K78" s="91"/>
      <c r="L78" s="100"/>
      <c r="M78" s="91"/>
      <c r="N78" s="91"/>
      <c r="O78" s="91"/>
      <c r="P78" s="91"/>
      <c r="Q78" s="91"/>
      <c r="R78" s="91"/>
    </row>
    <row r="79" spans="1:18" x14ac:dyDescent="0.25">
      <c r="A79" s="90"/>
      <c r="B79" s="94">
        <v>13</v>
      </c>
      <c r="C79" s="90"/>
      <c r="D79" s="97">
        <v>0.80243902439024395</v>
      </c>
      <c r="E79" s="97">
        <v>0.24912891986062716</v>
      </c>
      <c r="F79" s="90"/>
      <c r="G79" s="98">
        <v>0.28581335446800082</v>
      </c>
      <c r="H79" s="99">
        <v>-1.2680800475530017E-2</v>
      </c>
      <c r="I79" s="91"/>
      <c r="J79" s="99">
        <v>-5.4487814543293656E-3</v>
      </c>
      <c r="K79" s="91"/>
      <c r="L79" s="100"/>
      <c r="M79" s="91"/>
      <c r="N79" s="91"/>
      <c r="O79" s="91"/>
      <c r="P79" s="91"/>
      <c r="Q79" s="91"/>
      <c r="R79" s="91"/>
    </row>
    <row r="80" spans="1:18" x14ac:dyDescent="0.25">
      <c r="A80" s="90"/>
      <c r="B80" s="94">
        <v>14</v>
      </c>
      <c r="C80" s="90"/>
      <c r="D80" s="97">
        <v>0.12239858906525569</v>
      </c>
      <c r="E80" s="97">
        <v>8.0423280423280424E-2</v>
      </c>
      <c r="F80" s="90"/>
      <c r="G80" s="99">
        <v>-0.12284525460669699</v>
      </c>
      <c r="H80" s="98">
        <v>8.4901921933822067E-2</v>
      </c>
      <c r="I80" s="91"/>
      <c r="J80" s="99">
        <v>-7.9255002972061783E-3</v>
      </c>
      <c r="K80" s="91"/>
      <c r="L80" s="100"/>
      <c r="M80" s="91"/>
      <c r="N80" s="91"/>
      <c r="O80" s="91"/>
      <c r="P80" s="91"/>
      <c r="Q80" s="91"/>
      <c r="R80" s="91"/>
    </row>
    <row r="81" spans="1:18" x14ac:dyDescent="0.25">
      <c r="A81" s="90"/>
      <c r="B81" s="94">
        <v>15</v>
      </c>
      <c r="C81" s="90"/>
      <c r="D81" s="97">
        <v>0.25749128919860625</v>
      </c>
      <c r="E81" s="97">
        <v>0.25853658536585361</v>
      </c>
      <c r="F81" s="90"/>
      <c r="G81" s="98">
        <v>4.6562314246086922E-3</v>
      </c>
      <c r="H81" s="98">
        <v>7.3806221517733306E-2</v>
      </c>
      <c r="I81" s="91"/>
      <c r="J81" s="98">
        <v>6.2116108579354068E-2</v>
      </c>
      <c r="K81" s="91"/>
      <c r="L81" s="100"/>
      <c r="M81" s="91"/>
      <c r="N81" s="91"/>
      <c r="O81" s="91"/>
      <c r="P81" s="91"/>
      <c r="Q81" s="91"/>
      <c r="R81" s="91"/>
    </row>
    <row r="82" spans="1:18" x14ac:dyDescent="0.25">
      <c r="A82" s="90"/>
      <c r="B82" s="94">
        <v>16</v>
      </c>
      <c r="C82" s="90"/>
      <c r="D82" s="97">
        <v>0.17491289198606275</v>
      </c>
      <c r="E82" s="97">
        <v>8.815331010452962E-2</v>
      </c>
      <c r="F82" s="90"/>
      <c r="G82" s="99">
        <v>-8.5000990687537137E-2</v>
      </c>
      <c r="H82" s="98">
        <v>1.4761244303546639E-2</v>
      </c>
      <c r="I82" s="91"/>
      <c r="J82" s="98">
        <v>3.0711313651674343E-2</v>
      </c>
      <c r="K82" s="91"/>
      <c r="L82" s="100"/>
      <c r="M82" s="91"/>
      <c r="N82" s="91"/>
      <c r="O82" s="91"/>
      <c r="P82" s="91"/>
      <c r="Q82" s="91"/>
      <c r="R82" s="91"/>
    </row>
    <row r="83" spans="1:18" x14ac:dyDescent="0.25">
      <c r="A83" s="90"/>
      <c r="B83" s="94">
        <v>17</v>
      </c>
      <c r="C83" s="90"/>
      <c r="D83" s="97">
        <v>0.45261324041811846</v>
      </c>
      <c r="E83" s="97">
        <v>0.1289198606271777</v>
      </c>
      <c r="F83" s="90"/>
      <c r="G83" s="99">
        <v>-2.595601347335047E-2</v>
      </c>
      <c r="H83" s="98">
        <v>2.9225282345948067E-2</v>
      </c>
      <c r="I83" s="91"/>
      <c r="J83" s="98">
        <v>2.9027144838517926E-2</v>
      </c>
      <c r="K83" s="91"/>
      <c r="L83" s="100"/>
      <c r="M83" s="91"/>
      <c r="N83" s="91"/>
      <c r="O83" s="91"/>
      <c r="P83" s="91"/>
      <c r="Q83" s="91"/>
      <c r="R83" s="91"/>
    </row>
    <row r="84" spans="1:18" x14ac:dyDescent="0.25">
      <c r="A84" s="90"/>
      <c r="B84" s="94">
        <v>18</v>
      </c>
      <c r="C84" s="90"/>
      <c r="D84" s="97">
        <v>0.37560975609756098</v>
      </c>
      <c r="E84" s="97">
        <v>0.11986062717770035</v>
      </c>
      <c r="F84" s="90"/>
      <c r="G84" s="98">
        <v>0.1870418070140677</v>
      </c>
      <c r="H84" s="98">
        <v>1.7733306914998997E-2</v>
      </c>
      <c r="I84" s="91"/>
      <c r="J84" s="99">
        <v>-2.3578363384188616E-2</v>
      </c>
      <c r="K84" s="91"/>
      <c r="L84" s="100"/>
      <c r="M84" s="91"/>
      <c r="N84" s="91"/>
      <c r="O84" s="91"/>
      <c r="P84" s="91"/>
      <c r="Q84" s="91"/>
      <c r="R84" s="91"/>
    </row>
    <row r="85" spans="1:18" x14ac:dyDescent="0.25">
      <c r="A85" s="90"/>
      <c r="B85" s="94">
        <v>19</v>
      </c>
      <c r="C85" s="90"/>
      <c r="D85" s="97">
        <v>0.52160278745644595</v>
      </c>
      <c r="E85" s="97">
        <v>0.2881533101045296</v>
      </c>
      <c r="F85" s="90"/>
      <c r="G85" s="98">
        <v>8.3514959381811027E-2</v>
      </c>
      <c r="H85" s="99">
        <v>-2.8036457301367113E-2</v>
      </c>
      <c r="I85" s="91"/>
      <c r="J85" s="99">
        <v>-3.972657023974635E-2</v>
      </c>
      <c r="K85" s="91"/>
      <c r="L85" s="100"/>
      <c r="M85" s="91"/>
      <c r="N85" s="91"/>
      <c r="O85" s="91"/>
      <c r="P85" s="91"/>
      <c r="Q85" s="91"/>
      <c r="R85" s="91"/>
    </row>
    <row r="86" spans="1:18" x14ac:dyDescent="0.25">
      <c r="A86" s="90"/>
      <c r="B86" s="94">
        <v>20</v>
      </c>
      <c r="C86" s="90"/>
      <c r="D86" s="97">
        <v>0.15853658536585369</v>
      </c>
      <c r="E86" s="97">
        <v>7.1777003484320548E-2</v>
      </c>
      <c r="F86" s="90"/>
      <c r="G86" s="98">
        <v>0.26144244105409153</v>
      </c>
      <c r="H86" s="98">
        <v>0.15712304339211416</v>
      </c>
      <c r="I86" s="91"/>
      <c r="J86" s="98">
        <v>0.16534574995046558</v>
      </c>
      <c r="K86" s="91"/>
      <c r="L86" s="100"/>
      <c r="M86" s="91"/>
      <c r="N86" s="91"/>
      <c r="O86" s="91"/>
      <c r="P86" s="91"/>
      <c r="Q86" s="91"/>
      <c r="R86" s="91"/>
    </row>
    <row r="87" spans="1:18" x14ac:dyDescent="0.25">
      <c r="A87" s="90"/>
      <c r="B87" s="94"/>
      <c r="C87" s="90"/>
      <c r="D87" s="90"/>
      <c r="E87" s="90"/>
      <c r="F87" s="90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</row>
    <row r="88" spans="1:18" x14ac:dyDescent="0.25">
      <c r="A88" s="90"/>
      <c r="B88" s="94" t="s">
        <v>80</v>
      </c>
      <c r="C88" s="90"/>
      <c r="D88" s="97">
        <f>AVERAGE(D67:D86)</f>
        <v>0.32583922433692669</v>
      </c>
      <c r="E88" s="97">
        <f>AVERAGE(E67:E86)</f>
        <v>0.24971662614646001</v>
      </c>
      <c r="F88" s="90"/>
      <c r="G88" s="100">
        <v>1.21E-2</v>
      </c>
      <c r="H88" s="100">
        <v>7.4300000000000005E-2</v>
      </c>
      <c r="I88" s="91"/>
      <c r="J88" s="100">
        <v>1.24E-2</v>
      </c>
      <c r="K88" s="91"/>
      <c r="L88" s="91"/>
      <c r="M88" s="91"/>
      <c r="N88" s="91"/>
      <c r="O88" s="91"/>
      <c r="P88" s="91"/>
      <c r="Q88" s="91"/>
      <c r="R88" s="91"/>
    </row>
    <row r="89" spans="1:18" x14ac:dyDescent="0.25">
      <c r="A89" s="90"/>
      <c r="B89" s="90"/>
      <c r="C89" s="90"/>
      <c r="D89" s="90"/>
      <c r="E89" s="90"/>
      <c r="F89" s="90"/>
      <c r="G89" s="98"/>
      <c r="H89" s="98"/>
      <c r="I89" s="98"/>
      <c r="J89" s="98"/>
      <c r="K89" s="91"/>
      <c r="L89" s="91"/>
      <c r="M89" s="91"/>
      <c r="N89" s="91"/>
      <c r="O89" s="91"/>
      <c r="P89" s="91"/>
      <c r="Q89" s="91"/>
      <c r="R89" s="91"/>
    </row>
    <row r="90" spans="1:18" x14ac:dyDescent="0.25">
      <c r="A90" s="90"/>
      <c r="B90" s="90"/>
      <c r="C90" s="90"/>
      <c r="D90" s="90"/>
      <c r="E90" s="90"/>
      <c r="F90" s="90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</row>
    <row r="91" spans="1:18" x14ac:dyDescent="0.25">
      <c r="A91" s="90"/>
      <c r="B91" s="90"/>
      <c r="C91" s="90"/>
      <c r="D91" s="90"/>
      <c r="E91" s="90"/>
      <c r="F91" s="90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</row>
    <row r="92" spans="1:18" x14ac:dyDescent="0.25">
      <c r="A92" s="90"/>
      <c r="B92" s="90" t="s">
        <v>81</v>
      </c>
      <c r="C92" s="90"/>
      <c r="D92" s="90"/>
      <c r="E92" s="90"/>
      <c r="F92" s="90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</row>
    <row r="95" spans="1:18" ht="15.75" x14ac:dyDescent="0.25">
      <c r="B95" s="2"/>
      <c r="C95" s="2" t="s">
        <v>84</v>
      </c>
      <c r="D95" s="2"/>
      <c r="E95" s="2" t="s">
        <v>69</v>
      </c>
      <c r="F95" s="2"/>
      <c r="G95" s="9"/>
      <c r="H95" s="13" t="s">
        <v>70</v>
      </c>
      <c r="I95" s="13"/>
      <c r="J95" s="13"/>
      <c r="K95" s="13" t="s">
        <v>83</v>
      </c>
      <c r="L95" s="13"/>
    </row>
    <row r="96" spans="1:18" ht="15.75" x14ac:dyDescent="0.25">
      <c r="B96" s="2"/>
      <c r="C96" s="2"/>
      <c r="D96" s="2"/>
      <c r="E96" s="2"/>
      <c r="F96" s="2"/>
      <c r="G96" s="9"/>
      <c r="H96" s="13"/>
      <c r="I96" s="13"/>
      <c r="J96" s="13"/>
      <c r="K96" s="13"/>
      <c r="L96" s="13"/>
    </row>
    <row r="97" spans="2:12" ht="15.75" x14ac:dyDescent="0.25">
      <c r="B97" s="2"/>
      <c r="C97" s="2"/>
      <c r="D97" s="2"/>
      <c r="E97" s="2" t="s">
        <v>6</v>
      </c>
      <c r="F97" s="2" t="s">
        <v>3</v>
      </c>
      <c r="G97" s="9"/>
      <c r="H97" s="13" t="s">
        <v>2</v>
      </c>
      <c r="I97" s="13" t="s">
        <v>3</v>
      </c>
      <c r="J97" s="13"/>
      <c r="K97" s="13" t="s">
        <v>71</v>
      </c>
      <c r="L97" s="13"/>
    </row>
    <row r="98" spans="2:12" ht="15.75" x14ac:dyDescent="0.25">
      <c r="B98" s="2"/>
      <c r="C98" s="2"/>
      <c r="D98" s="2"/>
      <c r="E98" s="2"/>
      <c r="F98" s="2"/>
      <c r="G98" s="9"/>
      <c r="H98" s="13"/>
      <c r="I98" s="13"/>
      <c r="J98" s="13"/>
      <c r="K98" s="13"/>
      <c r="L98" s="13"/>
    </row>
    <row r="99" spans="2:12" ht="15.75" x14ac:dyDescent="0.25">
      <c r="B99" s="2"/>
      <c r="C99" s="2" t="s">
        <v>72</v>
      </c>
      <c r="D99" s="2"/>
      <c r="E99" s="5">
        <v>0.74818181818181828</v>
      </c>
      <c r="F99" s="5">
        <v>0.65878787878787881</v>
      </c>
      <c r="G99" s="11"/>
      <c r="H99" s="16">
        <v>-6.2992125984251968E-2</v>
      </c>
      <c r="I99" s="14">
        <v>7.8740157480314821E-3</v>
      </c>
      <c r="J99" s="15"/>
      <c r="K99" s="102">
        <v>2.8871391076115527E-2</v>
      </c>
      <c r="L99" s="13"/>
    </row>
    <row r="100" spans="2:12" ht="15.75" x14ac:dyDescent="0.25">
      <c r="B100" s="2"/>
      <c r="C100" s="2" t="s">
        <v>82</v>
      </c>
      <c r="D100" s="2"/>
      <c r="E100" s="5">
        <v>0.86486486486486491</v>
      </c>
      <c r="F100" s="5">
        <v>0.91891891891891897</v>
      </c>
      <c r="G100" s="11"/>
      <c r="H100" s="17">
        <v>0.13810792147578177</v>
      </c>
      <c r="I100" s="17">
        <v>0.22728617934300094</v>
      </c>
      <c r="J100" s="13"/>
      <c r="K100" s="102">
        <v>0.1751876648407385</v>
      </c>
      <c r="L100" s="13"/>
    </row>
    <row r="101" spans="2:12" ht="15.75" x14ac:dyDescent="0.25">
      <c r="B101" s="2"/>
      <c r="C101" s="2"/>
      <c r="D101" s="2"/>
      <c r="E101" s="3"/>
      <c r="F101" s="3"/>
      <c r="G101" s="11"/>
      <c r="H101" s="11"/>
      <c r="I101" s="11"/>
      <c r="J101" s="13"/>
      <c r="K101" s="13"/>
      <c r="L101" s="13"/>
    </row>
    <row r="102" spans="2:12" ht="15.75" x14ac:dyDescent="0.25">
      <c r="B102" s="2"/>
      <c r="C102" s="2"/>
      <c r="D102" s="2"/>
      <c r="E102" s="3"/>
      <c r="F102" s="3"/>
      <c r="G102" s="11"/>
      <c r="H102" s="11"/>
      <c r="I102" s="11"/>
    </row>
    <row r="103" spans="2:12" ht="15.75" x14ac:dyDescent="0.25">
      <c r="B103" s="2"/>
      <c r="C103" s="2"/>
      <c r="D103" s="2"/>
      <c r="E103" s="3"/>
      <c r="F103" s="3"/>
      <c r="G103" s="11"/>
      <c r="H103" s="11"/>
      <c r="I103" s="11"/>
    </row>
    <row r="112" spans="2:12" ht="15.75" x14ac:dyDescent="0.25">
      <c r="B112" s="2"/>
      <c r="C112" s="2"/>
      <c r="D112" s="2"/>
      <c r="E112" s="3"/>
      <c r="F112" s="3"/>
      <c r="G112" s="11"/>
      <c r="H112" s="11"/>
      <c r="I112" s="11"/>
    </row>
    <row r="113" spans="2:32" ht="15.75" x14ac:dyDescent="0.25">
      <c r="B113" s="2"/>
      <c r="C113" s="2"/>
      <c r="D113" s="2"/>
      <c r="E113" s="3"/>
      <c r="F113" s="3"/>
      <c r="G113" s="11"/>
      <c r="H113" s="11"/>
      <c r="I113" s="11"/>
    </row>
    <row r="114" spans="2:32" ht="15.75" x14ac:dyDescent="0.25">
      <c r="B114" s="2"/>
      <c r="C114" s="2"/>
      <c r="D114" s="2"/>
      <c r="E114" s="3"/>
      <c r="F114" s="3"/>
      <c r="G114" s="11"/>
      <c r="H114" s="11"/>
      <c r="I114" s="11"/>
    </row>
    <row r="115" spans="2:32" ht="15.75" x14ac:dyDescent="0.25">
      <c r="B115" s="2"/>
      <c r="C115" s="2"/>
      <c r="D115" s="2"/>
      <c r="E115" s="3"/>
      <c r="F115" s="3"/>
      <c r="G115" s="11"/>
      <c r="H115" s="12"/>
      <c r="I115" s="11"/>
    </row>
    <row r="116" spans="2:32" ht="15.75" x14ac:dyDescent="0.25">
      <c r="B116" s="2"/>
      <c r="C116" s="2"/>
      <c r="D116" s="2"/>
      <c r="E116" s="3"/>
      <c r="F116" s="3"/>
      <c r="G116" s="11"/>
      <c r="H116" s="11"/>
      <c r="I116" s="11"/>
    </row>
    <row r="117" spans="2:32" ht="15.75" x14ac:dyDescent="0.25">
      <c r="B117" s="2"/>
      <c r="C117" s="2"/>
      <c r="D117" s="2"/>
      <c r="E117" s="4"/>
      <c r="F117" s="3"/>
      <c r="G117" s="11"/>
      <c r="H117" s="11"/>
      <c r="I117" s="11"/>
    </row>
    <row r="118" spans="2:32" ht="15.75" x14ac:dyDescent="0.25">
      <c r="B118" s="2"/>
      <c r="C118" s="2"/>
      <c r="D118" s="2"/>
      <c r="E118" s="3"/>
      <c r="F118" s="3"/>
      <c r="G118" s="11"/>
      <c r="H118" s="11"/>
      <c r="I118" s="11"/>
    </row>
    <row r="119" spans="2:32" ht="15.75" x14ac:dyDescent="0.25">
      <c r="B119" s="2"/>
      <c r="C119" s="2"/>
      <c r="D119" s="8"/>
      <c r="E119" s="3"/>
      <c r="F119" s="3"/>
      <c r="G119" s="11"/>
      <c r="H119" s="11"/>
      <c r="I119" s="11"/>
      <c r="N119" s="19"/>
      <c r="O119" s="19"/>
      <c r="P119" s="19"/>
      <c r="Q119" s="19"/>
      <c r="R119" s="19"/>
      <c r="S119" s="20"/>
      <c r="T119" s="20"/>
      <c r="U119" s="20"/>
      <c r="V119" s="20"/>
      <c r="W119" s="20"/>
      <c r="X119" s="20"/>
      <c r="Y119" s="20"/>
      <c r="Z119" s="20"/>
      <c r="AA119" s="6"/>
      <c r="AB119" s="6"/>
      <c r="AC119" s="6"/>
      <c r="AD119" s="6"/>
      <c r="AE119" s="6"/>
      <c r="AF119" s="6"/>
    </row>
    <row r="120" spans="2:32" ht="15.75" x14ac:dyDescent="0.25">
      <c r="B120" s="2"/>
      <c r="C120" s="2"/>
      <c r="D120" s="8"/>
      <c r="E120" s="3"/>
      <c r="F120" s="3"/>
      <c r="G120" s="11"/>
      <c r="H120" s="11"/>
      <c r="I120" s="11"/>
      <c r="N120" s="18"/>
      <c r="O120" s="18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2:32" ht="15.75" x14ac:dyDescent="0.25">
      <c r="B121" s="2"/>
      <c r="C121" s="2"/>
      <c r="D121" s="8"/>
      <c r="E121" s="3"/>
      <c r="F121" s="3"/>
      <c r="G121" s="11"/>
      <c r="H121" s="11"/>
      <c r="I121" s="11"/>
    </row>
    <row r="122" spans="2:32" ht="15.75" x14ac:dyDescent="0.25">
      <c r="B122" s="2"/>
      <c r="C122" s="2"/>
      <c r="D122" s="8"/>
      <c r="E122" s="3"/>
      <c r="F122" s="3"/>
      <c r="G122" s="11"/>
      <c r="H122" s="11"/>
      <c r="I122" s="11"/>
    </row>
    <row r="123" spans="2:32" ht="15.75" x14ac:dyDescent="0.25">
      <c r="B123" s="2"/>
      <c r="C123" s="2"/>
      <c r="D123" s="8"/>
      <c r="E123" s="3"/>
      <c r="F123" s="3"/>
      <c r="G123" s="18"/>
      <c r="H123" s="18"/>
      <c r="I123" s="18"/>
      <c r="J123" s="19"/>
      <c r="K123" s="19"/>
      <c r="L123" s="19"/>
      <c r="M123" s="19"/>
    </row>
    <row r="124" spans="2:32" ht="15.75" x14ac:dyDescent="0.25">
      <c r="B124" s="2"/>
      <c r="C124" s="2"/>
      <c r="D124" s="8"/>
      <c r="E124" s="3"/>
      <c r="F124" s="3"/>
      <c r="G124" s="18"/>
      <c r="H124" s="18"/>
      <c r="I124" s="18"/>
      <c r="J124" s="18"/>
      <c r="K124" s="18"/>
      <c r="L124" s="18"/>
      <c r="M124" s="18"/>
    </row>
    <row r="125" spans="2:32" ht="15.75" x14ac:dyDescent="0.25">
      <c r="B125" s="2"/>
      <c r="C125" s="2"/>
      <c r="D125" s="8"/>
      <c r="E125" s="3"/>
      <c r="F125" s="3"/>
      <c r="G125" s="11"/>
      <c r="H125" s="11"/>
      <c r="I125" s="11"/>
    </row>
    <row r="126" spans="2:32" ht="15.75" x14ac:dyDescent="0.25">
      <c r="B126" s="2"/>
      <c r="C126" s="2"/>
      <c r="D126" s="8"/>
      <c r="E126" s="3"/>
      <c r="F126" s="3"/>
      <c r="G126" s="11"/>
      <c r="H126" s="11"/>
      <c r="I126" s="11"/>
    </row>
    <row r="127" spans="2:32" ht="15.75" x14ac:dyDescent="0.25">
      <c r="C127" s="2"/>
      <c r="D127" s="7"/>
    </row>
    <row r="128" spans="2:32" ht="15.75" x14ac:dyDescent="0.25">
      <c r="C128" s="2"/>
      <c r="D128" s="7"/>
    </row>
    <row r="129" spans="3:4" ht="15.75" x14ac:dyDescent="0.25">
      <c r="C129" s="2"/>
      <c r="D129" s="7"/>
    </row>
    <row r="130" spans="3:4" ht="15.75" x14ac:dyDescent="0.25">
      <c r="C130" s="2"/>
      <c r="D130" s="7"/>
    </row>
    <row r="131" spans="3:4" ht="15.75" x14ac:dyDescent="0.25">
      <c r="C131" s="2"/>
      <c r="D131" s="7"/>
    </row>
    <row r="132" spans="3:4" ht="15.75" x14ac:dyDescent="0.25">
      <c r="C132" s="2"/>
      <c r="D132" s="7"/>
    </row>
    <row r="133" spans="3:4" ht="15.75" x14ac:dyDescent="0.25">
      <c r="C133" s="2"/>
      <c r="D133" s="7"/>
    </row>
    <row r="134" spans="3:4" ht="15.75" x14ac:dyDescent="0.25">
      <c r="C134" s="2"/>
      <c r="D134" s="7"/>
    </row>
    <row r="135" spans="3:4" ht="15.75" x14ac:dyDescent="0.25">
      <c r="C135" s="2"/>
      <c r="D135" s="7"/>
    </row>
    <row r="136" spans="3:4" ht="15.75" x14ac:dyDescent="0.25">
      <c r="C136" s="2"/>
      <c r="D136" s="7"/>
    </row>
    <row r="137" spans="3:4" ht="15.75" x14ac:dyDescent="0.25">
      <c r="C137" s="2"/>
      <c r="D137" s="7"/>
    </row>
    <row r="138" spans="3:4" ht="15.75" x14ac:dyDescent="0.25">
      <c r="C138" s="2"/>
      <c r="D138" s="7"/>
    </row>
    <row r="139" spans="3:4" ht="15.75" x14ac:dyDescent="0.25">
      <c r="C139" s="2"/>
      <c r="D139" s="6"/>
    </row>
    <row r="140" spans="3:4" ht="15.75" x14ac:dyDescent="0.25">
      <c r="C140" s="2"/>
      <c r="D140" s="6"/>
    </row>
    <row r="141" spans="3:4" ht="15.75" x14ac:dyDescent="0.25">
      <c r="C141" s="2"/>
      <c r="D141" s="7"/>
    </row>
    <row r="142" spans="3:4" ht="15.75" x14ac:dyDescent="0.25">
      <c r="C142" s="2"/>
      <c r="D142" s="7"/>
    </row>
    <row r="143" spans="3:4" ht="15.75" x14ac:dyDescent="0.25">
      <c r="C143" s="2"/>
      <c r="D143" s="7"/>
    </row>
    <row r="144" spans="3:4" ht="15.75" x14ac:dyDescent="0.25">
      <c r="C144" s="2"/>
      <c r="D144" s="7"/>
    </row>
    <row r="145" spans="3:26" ht="15.75" x14ac:dyDescent="0.25">
      <c r="C145" s="22"/>
      <c r="D145" s="7"/>
      <c r="N145" s="24"/>
      <c r="O145" s="24"/>
      <c r="P145" s="24"/>
      <c r="Q145" s="24"/>
      <c r="R145" s="24"/>
      <c r="S145" s="25"/>
      <c r="T145" s="25"/>
      <c r="U145" s="25"/>
      <c r="V145" s="25"/>
      <c r="W145" s="25"/>
      <c r="X145" s="25"/>
      <c r="Y145" s="25"/>
      <c r="Z145" s="25"/>
    </row>
    <row r="146" spans="3:26" ht="15.75" x14ac:dyDescent="0.25">
      <c r="C146" s="2"/>
      <c r="D146" s="7"/>
      <c r="N146" s="23"/>
      <c r="O146" s="23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3:26" ht="15.75" x14ac:dyDescent="0.25">
      <c r="C147" s="2"/>
      <c r="D147" s="7"/>
    </row>
    <row r="148" spans="3:26" ht="15.75" x14ac:dyDescent="0.25">
      <c r="C148" s="2"/>
      <c r="D148" s="7"/>
    </row>
    <row r="149" spans="3:26" ht="15.75" x14ac:dyDescent="0.25">
      <c r="C149" s="2"/>
      <c r="D149" s="7"/>
      <c r="G149" s="23"/>
      <c r="H149" s="23"/>
      <c r="I149" s="23"/>
      <c r="J149" s="24"/>
      <c r="K149" s="24"/>
      <c r="L149" s="24"/>
      <c r="M149" s="24"/>
    </row>
    <row r="150" spans="3:26" ht="15.75" x14ac:dyDescent="0.25">
      <c r="C150" s="2"/>
      <c r="D150" s="7"/>
      <c r="G150" s="23"/>
      <c r="H150" s="23"/>
      <c r="I150" s="23"/>
      <c r="J150" s="23"/>
      <c r="K150" s="23"/>
      <c r="L150" s="23"/>
      <c r="M150" s="23"/>
    </row>
    <row r="151" spans="3:26" ht="15.75" x14ac:dyDescent="0.25">
      <c r="C151" s="2"/>
      <c r="D151" s="7"/>
    </row>
    <row r="152" spans="3:26" ht="15.75" x14ac:dyDescent="0.25">
      <c r="C152" s="2"/>
      <c r="D152" s="7"/>
    </row>
    <row r="153" spans="3:26" ht="15.75" x14ac:dyDescent="0.25">
      <c r="C153" s="2"/>
      <c r="D153" s="7"/>
    </row>
    <row r="154" spans="3:26" ht="15.75" x14ac:dyDescent="0.25">
      <c r="C154" s="2"/>
      <c r="D154" s="7"/>
    </row>
    <row r="155" spans="3:26" ht="15.75" x14ac:dyDescent="0.25">
      <c r="C155" s="2"/>
      <c r="D155" s="7"/>
    </row>
    <row r="156" spans="3:26" ht="15.75" x14ac:dyDescent="0.25">
      <c r="C156" s="2"/>
      <c r="D156" s="7"/>
    </row>
    <row r="157" spans="3:26" ht="15.75" x14ac:dyDescent="0.25">
      <c r="C157" s="2"/>
      <c r="D157" s="7"/>
    </row>
    <row r="158" spans="3:26" ht="15.75" x14ac:dyDescent="0.25">
      <c r="C158" s="2"/>
      <c r="D158" s="7"/>
    </row>
    <row r="159" spans="3:26" ht="15.75" x14ac:dyDescent="0.25">
      <c r="C159" s="2"/>
      <c r="D159" s="7"/>
    </row>
    <row r="160" spans="3:26" ht="15.75" x14ac:dyDescent="0.25">
      <c r="C160" s="2"/>
      <c r="D160" s="7"/>
    </row>
    <row r="161" spans="3:26" x14ac:dyDescent="0.25">
      <c r="D161" s="6"/>
    </row>
    <row r="162" spans="3:26" ht="15.75" x14ac:dyDescent="0.25">
      <c r="C162" s="2"/>
      <c r="D162" s="6"/>
    </row>
    <row r="163" spans="3:26" ht="15.75" x14ac:dyDescent="0.25">
      <c r="C163" s="2"/>
      <c r="D163" s="6"/>
    </row>
    <row r="168" spans="3:26" x14ac:dyDescent="0.25">
      <c r="N168" s="24"/>
      <c r="O168" s="24"/>
      <c r="P168" s="24"/>
      <c r="Q168" s="24"/>
      <c r="R168" s="24"/>
      <c r="S168" s="25"/>
      <c r="T168" s="25"/>
      <c r="U168" s="25"/>
      <c r="V168" s="25"/>
      <c r="W168" s="25"/>
      <c r="X168" s="25"/>
      <c r="Y168" s="25"/>
      <c r="Z168" s="25"/>
    </row>
    <row r="169" spans="3:26" x14ac:dyDescent="0.25">
      <c r="N169" s="23"/>
      <c r="O169" s="23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2" spans="3:26" x14ac:dyDescent="0.25">
      <c r="G172" s="23"/>
      <c r="H172" s="23"/>
      <c r="I172" s="23"/>
      <c r="J172" s="24"/>
      <c r="K172" s="24"/>
      <c r="L172" s="24"/>
      <c r="M172" s="24"/>
    </row>
    <row r="173" spans="3:26" x14ac:dyDescent="0.25">
      <c r="G173" s="23"/>
      <c r="H173" s="23"/>
      <c r="I173" s="23"/>
      <c r="J173" s="23"/>
      <c r="K173" s="23"/>
      <c r="L173" s="23"/>
      <c r="M173" s="23"/>
    </row>
    <row r="193" spans="7:28" x14ac:dyDescent="0.25"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spans="7:28" x14ac:dyDescent="0.25">
      <c r="N194" s="28"/>
      <c r="O194" s="29"/>
      <c r="P194" s="29"/>
      <c r="Q194" s="27"/>
      <c r="R194" s="27"/>
      <c r="S194" s="29"/>
      <c r="T194" s="29"/>
      <c r="U194" s="27"/>
      <c r="V194" s="27"/>
      <c r="W194" s="29"/>
      <c r="X194" s="29"/>
      <c r="Y194" s="29"/>
      <c r="Z194" s="27"/>
      <c r="AA194" s="15"/>
      <c r="AB194" s="15"/>
    </row>
    <row r="195" spans="7:28" x14ac:dyDescent="0.25">
      <c r="N195" s="23"/>
      <c r="O195" s="26"/>
      <c r="P195" s="23"/>
      <c r="Q195" s="26"/>
      <c r="R195" s="26"/>
      <c r="S195" s="23"/>
      <c r="T195" s="23"/>
      <c r="U195" s="26"/>
      <c r="V195" s="26"/>
      <c r="W195" s="26"/>
      <c r="X195" s="23"/>
      <c r="Y195" s="23"/>
      <c r="Z195" s="26"/>
      <c r="AA195" s="13"/>
      <c r="AB195" s="13"/>
    </row>
    <row r="197" spans="7:28" x14ac:dyDescent="0.25">
      <c r="G197" s="15"/>
      <c r="H197" s="15"/>
      <c r="I197" s="15"/>
      <c r="J197" s="15"/>
      <c r="K197" s="15"/>
      <c r="L197" s="15"/>
      <c r="M197" s="15"/>
    </row>
    <row r="198" spans="7:28" x14ac:dyDescent="0.25">
      <c r="G198" s="27"/>
      <c r="H198" s="27"/>
      <c r="I198" s="27"/>
      <c r="J198" s="28"/>
      <c r="K198" s="28"/>
      <c r="L198" s="29"/>
      <c r="M198" s="29"/>
    </row>
    <row r="199" spans="7:28" x14ac:dyDescent="0.25">
      <c r="G199" s="26"/>
      <c r="H199" s="26"/>
      <c r="I199" s="26"/>
      <c r="J199" s="23"/>
      <c r="K199" s="23"/>
      <c r="L199" s="23"/>
      <c r="M199" s="26"/>
    </row>
    <row r="220" spans="2:3" ht="15.75" x14ac:dyDescent="0.25">
      <c r="B220">
        <v>1</v>
      </c>
      <c r="C220" s="77">
        <v>-4.6794475365903976E-2</v>
      </c>
    </row>
    <row r="221" spans="2:3" ht="15.75" x14ac:dyDescent="0.25">
      <c r="B221">
        <v>1.002</v>
      </c>
      <c r="C221" s="77">
        <v>2.0202020202020166E-2</v>
      </c>
    </row>
    <row r="222" spans="2:3" ht="15.75" x14ac:dyDescent="0.25">
      <c r="B222">
        <v>1</v>
      </c>
      <c r="C222" s="77">
        <v>-7.0707070707070718E-2</v>
      </c>
    </row>
    <row r="223" spans="2:3" ht="15.75" x14ac:dyDescent="0.25">
      <c r="B223">
        <v>1.002</v>
      </c>
      <c r="C223" s="77">
        <v>-3.5868893011750114E-2</v>
      </c>
    </row>
    <row r="224" spans="2:3" ht="15.75" x14ac:dyDescent="0.25">
      <c r="B224">
        <v>0.998</v>
      </c>
      <c r="C224" s="77">
        <v>-0.10101010101010105</v>
      </c>
    </row>
    <row r="225" spans="2:3" ht="15.75" x14ac:dyDescent="0.25">
      <c r="B225">
        <v>1.002</v>
      </c>
      <c r="C225" s="77">
        <v>-7.0707070707070718E-2</v>
      </c>
    </row>
    <row r="226" spans="2:3" ht="15.75" x14ac:dyDescent="0.25">
      <c r="B226">
        <v>1.002</v>
      </c>
      <c r="C226" s="77">
        <v>5.998763141620285E-2</v>
      </c>
    </row>
    <row r="227" spans="2:3" ht="15.75" x14ac:dyDescent="0.25">
      <c r="B227">
        <v>1</v>
      </c>
      <c r="C227" s="77">
        <v>-8.5446299732014008E-2</v>
      </c>
    </row>
    <row r="228" spans="2:3" x14ac:dyDescent="0.25">
      <c r="B228">
        <v>1.002</v>
      </c>
      <c r="C228" s="78">
        <v>7.0707070707070718E-2</v>
      </c>
    </row>
    <row r="229" spans="2:3" x14ac:dyDescent="0.25">
      <c r="B229">
        <v>1</v>
      </c>
      <c r="C229" s="78">
        <v>1.0101010101010055E-2</v>
      </c>
    </row>
    <row r="230" spans="2:3" x14ac:dyDescent="0.25">
      <c r="B230">
        <v>1.002</v>
      </c>
      <c r="C230" s="78">
        <v>-0.13131313131313133</v>
      </c>
    </row>
    <row r="231" spans="2:3" x14ac:dyDescent="0.25">
      <c r="B231">
        <v>1</v>
      </c>
      <c r="C231" s="78">
        <v>5.0505050505050553E-2</v>
      </c>
    </row>
    <row r="232" spans="2:3" x14ac:dyDescent="0.25">
      <c r="B232">
        <v>0.998</v>
      </c>
      <c r="C232" s="78">
        <v>-1.0204081632653073E-2</v>
      </c>
    </row>
    <row r="233" spans="2:3" x14ac:dyDescent="0.25">
      <c r="B233">
        <v>0.998</v>
      </c>
      <c r="C233" s="78">
        <v>-1.9583591012162449E-2</v>
      </c>
    </row>
    <row r="234" spans="2:3" x14ac:dyDescent="0.25">
      <c r="B234">
        <v>1.002</v>
      </c>
      <c r="C234" s="78">
        <v>4.0404040404040387E-2</v>
      </c>
    </row>
    <row r="235" spans="2:3" x14ac:dyDescent="0.25">
      <c r="B235">
        <v>0.998</v>
      </c>
      <c r="C235" s="78">
        <v>0.12121212121212122</v>
      </c>
    </row>
    <row r="236" spans="2:3" x14ac:dyDescent="0.25">
      <c r="B236">
        <v>1.002</v>
      </c>
      <c r="C236" s="78">
        <v>-1.4533085961657366E-2</v>
      </c>
    </row>
    <row r="237" spans="2:3" x14ac:dyDescent="0.25">
      <c r="B237">
        <v>1</v>
      </c>
      <c r="C237" s="78">
        <v>-8.0808080808080884E-2</v>
      </c>
    </row>
    <row r="238" spans="2:3" x14ac:dyDescent="0.25">
      <c r="B238">
        <v>0.998</v>
      </c>
      <c r="C238" s="78">
        <v>-3.700267985982264E-2</v>
      </c>
    </row>
    <row r="239" spans="2:3" x14ac:dyDescent="0.25">
      <c r="B239">
        <v>1.002</v>
      </c>
      <c r="C239" s="78">
        <v>-2.9993815708101335E-2</v>
      </c>
    </row>
    <row r="240" spans="2:3" x14ac:dyDescent="0.25">
      <c r="B240" s="79">
        <v>1.028</v>
      </c>
      <c r="C240" s="7">
        <v>3.8934020210025788E-2</v>
      </c>
    </row>
    <row r="241" spans="2:3" x14ac:dyDescent="0.25">
      <c r="B241" s="79">
        <v>1.032</v>
      </c>
      <c r="C241" s="7">
        <v>4.3986526649494762E-2</v>
      </c>
    </row>
    <row r="242" spans="2:3" x14ac:dyDescent="0.25">
      <c r="B242" s="79">
        <v>1.028</v>
      </c>
      <c r="C242" s="7">
        <v>6.0134733505052496E-2</v>
      </c>
    </row>
    <row r="243" spans="2:3" x14ac:dyDescent="0.25">
      <c r="B243" s="79">
        <v>1.028</v>
      </c>
      <c r="C243" s="7">
        <v>-0.10164454131167028</v>
      </c>
    </row>
    <row r="244" spans="2:3" x14ac:dyDescent="0.25">
      <c r="B244" s="79">
        <v>1.032</v>
      </c>
      <c r="C244" s="7">
        <v>-0.10689518525856945</v>
      </c>
    </row>
    <row r="245" spans="2:3" x14ac:dyDescent="0.25">
      <c r="B245" s="79">
        <v>1.032</v>
      </c>
      <c r="C245" s="7">
        <v>4.5571626708935664E-3</v>
      </c>
    </row>
    <row r="246" spans="2:3" x14ac:dyDescent="0.25">
      <c r="B246" s="79">
        <v>1.03</v>
      </c>
      <c r="C246" s="7">
        <v>1.0105012878938002E-2</v>
      </c>
    </row>
    <row r="247" spans="2:3" x14ac:dyDescent="0.25">
      <c r="B247" s="79">
        <v>1.03</v>
      </c>
      <c r="C247" s="7">
        <v>-6.7763027541113519E-2</v>
      </c>
    </row>
    <row r="248" spans="2:3" x14ac:dyDescent="0.25">
      <c r="B248" s="79">
        <v>1.03</v>
      </c>
      <c r="C248" s="7">
        <v>1.7337031900138689E-2</v>
      </c>
    </row>
    <row r="249" spans="2:3" x14ac:dyDescent="0.25">
      <c r="B249" s="79">
        <v>1.028</v>
      </c>
      <c r="C249" s="7">
        <v>1.0897562908659397E-3</v>
      </c>
    </row>
    <row r="250" spans="2:3" x14ac:dyDescent="0.25">
      <c r="B250" s="79">
        <v>1.03</v>
      </c>
      <c r="C250" s="7">
        <v>6.0630077273627903E-2</v>
      </c>
    </row>
    <row r="251" spans="2:3" x14ac:dyDescent="0.25">
      <c r="B251" s="79">
        <v>1.03</v>
      </c>
      <c r="C251" s="7">
        <v>8.1533584307509399E-2</v>
      </c>
    </row>
    <row r="252" spans="2:3" x14ac:dyDescent="0.25">
      <c r="B252" s="79">
        <v>1.032</v>
      </c>
      <c r="C252" s="7">
        <v>-5.4487814543293656E-3</v>
      </c>
    </row>
    <row r="253" spans="2:3" x14ac:dyDescent="0.25">
      <c r="B253" s="79">
        <v>1.028</v>
      </c>
      <c r="C253" s="7">
        <v>-7.9255002972061783E-3</v>
      </c>
    </row>
    <row r="254" spans="2:3" x14ac:dyDescent="0.25">
      <c r="B254" s="79">
        <v>1.032</v>
      </c>
      <c r="C254" s="7">
        <v>6.2116108579354068E-2</v>
      </c>
    </row>
    <row r="255" spans="2:3" x14ac:dyDescent="0.25">
      <c r="B255" s="79">
        <v>1.028</v>
      </c>
      <c r="C255" s="7">
        <v>3.0711313651674343E-2</v>
      </c>
    </row>
    <row r="256" spans="2:3" x14ac:dyDescent="0.25">
      <c r="B256" s="79">
        <v>1.03</v>
      </c>
      <c r="C256" s="7">
        <v>2.9027144838517926E-2</v>
      </c>
    </row>
    <row r="257" spans="1:3" x14ac:dyDescent="0.25">
      <c r="B257" s="79">
        <v>1.028</v>
      </c>
      <c r="C257" s="7">
        <v>-2.3578363384188616E-2</v>
      </c>
    </row>
    <row r="258" spans="1:3" x14ac:dyDescent="0.25">
      <c r="B258" s="79">
        <v>1.03</v>
      </c>
      <c r="C258" s="7">
        <v>-3.972657023974635E-2</v>
      </c>
    </row>
    <row r="259" spans="1:3" x14ac:dyDescent="0.25">
      <c r="B259" s="79">
        <v>1.028</v>
      </c>
      <c r="C259" s="7">
        <v>0.16534574995046558</v>
      </c>
    </row>
    <row r="260" spans="1:3" x14ac:dyDescent="0.25">
      <c r="B260">
        <v>0.98</v>
      </c>
      <c r="C260" s="76">
        <v>-1.5097286392919906E-2</v>
      </c>
    </row>
    <row r="261" spans="1:3" x14ac:dyDescent="0.25">
      <c r="B261">
        <v>0.98</v>
      </c>
      <c r="C261" s="76">
        <v>0.17433110367892979</v>
      </c>
    </row>
    <row r="262" spans="1:3" x14ac:dyDescent="0.25">
      <c r="A262" s="7"/>
      <c r="B262" s="79">
        <v>0.94599999999999995</v>
      </c>
      <c r="C262" s="7">
        <v>0.32</v>
      </c>
    </row>
    <row r="263" spans="1:3" x14ac:dyDescent="0.25">
      <c r="A263" s="7"/>
      <c r="B263" s="79">
        <v>0.95</v>
      </c>
      <c r="C263" s="7">
        <v>0.38</v>
      </c>
    </row>
    <row r="264" spans="1:3" x14ac:dyDescent="0.25">
      <c r="A264" s="7"/>
      <c r="B264" s="79">
        <v>0.94799999999999995</v>
      </c>
      <c r="C264" s="7">
        <v>6.0999999999999999E-2</v>
      </c>
    </row>
    <row r="265" spans="1:3" x14ac:dyDescent="0.25">
      <c r="A265" s="7"/>
      <c r="B265" s="79">
        <v>0.95399999999999996</v>
      </c>
      <c r="C265" s="7">
        <v>0.10400000000000001</v>
      </c>
    </row>
    <row r="266" spans="1:3" x14ac:dyDescent="0.25">
      <c r="A266" s="7"/>
      <c r="B266" s="79">
        <v>0.94799999999999995</v>
      </c>
      <c r="C266" s="7">
        <v>0.13699999999999998</v>
      </c>
    </row>
    <row r="267" spans="1:3" x14ac:dyDescent="0.25">
      <c r="A267" s="7"/>
      <c r="B267" s="79">
        <v>0.95</v>
      </c>
      <c r="C267" s="7">
        <v>0.11199999999999999</v>
      </c>
    </row>
    <row r="268" spans="1:3" x14ac:dyDescent="0.25">
      <c r="A268" s="7"/>
      <c r="B268" s="79">
        <v>0.94599999999999995</v>
      </c>
      <c r="C268" s="7">
        <v>9.0999999999999998E-2</v>
      </c>
    </row>
    <row r="269" spans="1:3" x14ac:dyDescent="0.25">
      <c r="A269" s="7"/>
      <c r="B269" s="79">
        <v>0.95</v>
      </c>
      <c r="C269" s="7">
        <v>6.5000000000000002E-2</v>
      </c>
    </row>
    <row r="270" spans="1:3" x14ac:dyDescent="0.25">
      <c r="A270" s="7"/>
      <c r="B270" s="79">
        <v>0.95399999999999996</v>
      </c>
      <c r="C270" s="7">
        <v>0.13300000000000001</v>
      </c>
    </row>
    <row r="271" spans="1:3" x14ac:dyDescent="0.25">
      <c r="A271" s="7"/>
      <c r="B271" s="79">
        <v>0.95</v>
      </c>
      <c r="C271" s="7">
        <v>0.03</v>
      </c>
    </row>
    <row r="272" spans="1:3" x14ac:dyDescent="0.25">
      <c r="A272" s="7"/>
      <c r="B272" s="79">
        <v>0.94599999999999995</v>
      </c>
      <c r="C272" s="7">
        <v>-6.0999999999999999E-2</v>
      </c>
    </row>
    <row r="273" spans="1:3" x14ac:dyDescent="0.25">
      <c r="A273" s="7"/>
      <c r="B273" s="79">
        <v>0.95199999999999996</v>
      </c>
      <c r="C273" s="7">
        <v>0.24399999999999999</v>
      </c>
    </row>
    <row r="274" spans="1:3" x14ac:dyDescent="0.25">
      <c r="A274" s="7"/>
      <c r="B274" s="79">
        <v>0.94799999999999995</v>
      </c>
      <c r="C274" s="7">
        <v>0.23</v>
      </c>
    </row>
    <row r="275" spans="1:3" x14ac:dyDescent="0.25">
      <c r="A275" s="7"/>
      <c r="B275" s="79">
        <v>0.95399999999999996</v>
      </c>
      <c r="C275" s="7">
        <v>0.36399999999999999</v>
      </c>
    </row>
    <row r="276" spans="1:3" x14ac:dyDescent="0.25">
      <c r="A276" s="7"/>
      <c r="B276" s="79">
        <v>0.94599999999999995</v>
      </c>
      <c r="C276" s="7">
        <v>0.3</v>
      </c>
    </row>
    <row r="277" spans="1:3" x14ac:dyDescent="0.25">
      <c r="A277" s="7"/>
      <c r="B277" s="79">
        <v>0.94799999999999995</v>
      </c>
      <c r="C277" s="7">
        <v>9.0999999999999998E-2</v>
      </c>
    </row>
    <row r="278" spans="1:3" x14ac:dyDescent="0.25">
      <c r="A278" s="7"/>
      <c r="B278" s="79">
        <v>0.94799999999999995</v>
      </c>
      <c r="C278" s="7">
        <v>0.03</v>
      </c>
    </row>
    <row r="279" spans="1:3" x14ac:dyDescent="0.25">
      <c r="A279" s="7"/>
      <c r="B279" s="79">
        <v>0.95199999999999996</v>
      </c>
      <c r="C279" s="7">
        <v>0.30299999999999999</v>
      </c>
    </row>
    <row r="280" spans="1:3" x14ac:dyDescent="0.25">
      <c r="A280" s="7"/>
      <c r="B280" s="79">
        <v>0.95399999999999996</v>
      </c>
      <c r="C280" s="7">
        <v>-0.121</v>
      </c>
    </row>
    <row r="281" spans="1:3" x14ac:dyDescent="0.25">
      <c r="A281" s="7"/>
      <c r="B281" s="79">
        <v>0.95199999999999996</v>
      </c>
      <c r="C281" s="7">
        <v>-9.0999999999999998E-2</v>
      </c>
    </row>
    <row r="282" spans="1:3" x14ac:dyDescent="0.25">
      <c r="A282" s="7"/>
      <c r="B282" s="79">
        <v>0.95399999999999996</v>
      </c>
      <c r="C282" s="7">
        <v>0.30299999999999999</v>
      </c>
    </row>
    <row r="283" spans="1:3" x14ac:dyDescent="0.25">
      <c r="A283" s="7"/>
      <c r="B283" s="79">
        <v>0.95399999999999996</v>
      </c>
      <c r="C283" s="7">
        <v>0.03</v>
      </c>
    </row>
    <row r="284" spans="1:3" x14ac:dyDescent="0.25">
      <c r="A284" s="7"/>
      <c r="B284" s="79">
        <v>0.94799999999999995</v>
      </c>
      <c r="C284" s="7">
        <v>0.24199999999999999</v>
      </c>
    </row>
    <row r="285" spans="1:3" x14ac:dyDescent="0.25">
      <c r="A285" s="7"/>
      <c r="B285" s="79">
        <v>0.95199999999999996</v>
      </c>
      <c r="C285" s="7">
        <v>-7.4999999999999997E-2</v>
      </c>
    </row>
    <row r="286" spans="1:3" x14ac:dyDescent="0.25">
      <c r="A286" s="7"/>
      <c r="B286" s="79">
        <v>0.95399999999999996</v>
      </c>
      <c r="C286" s="7">
        <v>0.192</v>
      </c>
    </row>
    <row r="287" spans="1:3" x14ac:dyDescent="0.25">
      <c r="A287" s="7"/>
      <c r="B287" s="79">
        <v>0.95199999999999996</v>
      </c>
      <c r="C287" s="7">
        <v>0.30199999999999999</v>
      </c>
    </row>
    <row r="288" spans="1:3" x14ac:dyDescent="0.25">
      <c r="A288" s="7"/>
      <c r="B288" s="79">
        <v>0.95</v>
      </c>
      <c r="C288" s="7">
        <v>-6.0999999999999999E-2</v>
      </c>
    </row>
    <row r="289" spans="1:3" x14ac:dyDescent="0.25">
      <c r="A289" s="7"/>
      <c r="B289" s="79">
        <v>0.95399999999999996</v>
      </c>
      <c r="C289" s="7">
        <v>6.9000000000000006E-2</v>
      </c>
    </row>
    <row r="290" spans="1:3" x14ac:dyDescent="0.25">
      <c r="A290" s="7"/>
      <c r="B290" s="79">
        <v>0.94799999999999995</v>
      </c>
      <c r="C290" s="7">
        <v>0.08</v>
      </c>
    </row>
    <row r="291" spans="1:3" x14ac:dyDescent="0.25">
      <c r="A291" s="7"/>
      <c r="B291" s="79">
        <v>0.95199999999999996</v>
      </c>
      <c r="C291" s="7">
        <v>0.152</v>
      </c>
    </row>
    <row r="292" spans="1:3" x14ac:dyDescent="0.25">
      <c r="A292" s="7"/>
      <c r="B292" s="79">
        <v>0.94799999999999995</v>
      </c>
      <c r="C292" s="7">
        <v>0</v>
      </c>
    </row>
    <row r="293" spans="1:3" x14ac:dyDescent="0.25">
      <c r="A293" s="7"/>
      <c r="B293" s="79">
        <v>0.95399999999999996</v>
      </c>
      <c r="C293" s="7">
        <v>6.0999999999999999E-2</v>
      </c>
    </row>
    <row r="294" spans="1:3" x14ac:dyDescent="0.25">
      <c r="A294" s="7"/>
      <c r="B294" s="79">
        <v>0.95</v>
      </c>
      <c r="C294" s="7">
        <v>-0.01</v>
      </c>
    </row>
    <row r="295" spans="1:3" x14ac:dyDescent="0.25">
      <c r="A295" s="7"/>
      <c r="B295" s="79">
        <v>0.95399999999999996</v>
      </c>
      <c r="C295" s="7">
        <v>0.152</v>
      </c>
    </row>
    <row r="296" spans="1:3" x14ac:dyDescent="0.25">
      <c r="A296" s="7"/>
      <c r="B296" s="79">
        <v>0.94799999999999995</v>
      </c>
      <c r="C296" s="7">
        <v>0.315</v>
      </c>
    </row>
    <row r="297" spans="1:3" x14ac:dyDescent="0.25">
      <c r="A297" s="7"/>
      <c r="B297" s="79">
        <v>0.95399999999999996</v>
      </c>
      <c r="C297" s="7">
        <v>9.0999999999999998E-2</v>
      </c>
    </row>
    <row r="298" spans="1:3" x14ac:dyDescent="0.25">
      <c r="A298" s="7"/>
      <c r="B298" s="79">
        <v>0.94799999999999995</v>
      </c>
      <c r="C298" s="7">
        <v>0.24199999999999999</v>
      </c>
    </row>
    <row r="299" spans="1:3" x14ac:dyDescent="0.25">
      <c r="A299" s="7"/>
      <c r="B299" s="79">
        <v>0.95199999999999996</v>
      </c>
      <c r="C299" s="7">
        <v>-0.03</v>
      </c>
    </row>
    <row r="300" spans="1:3" x14ac:dyDescent="0.25">
      <c r="A300" s="7"/>
      <c r="B300" s="79">
        <v>0.94799999999999995</v>
      </c>
      <c r="C300" s="7">
        <v>0.30299999999999999</v>
      </c>
    </row>
    <row r="301" spans="1:3" x14ac:dyDescent="0.25">
      <c r="A301" s="7"/>
      <c r="B301" s="79">
        <v>0.95399999999999996</v>
      </c>
      <c r="C301" s="7">
        <v>0</v>
      </c>
    </row>
    <row r="302" spans="1:3" x14ac:dyDescent="0.25">
      <c r="A302" s="7"/>
      <c r="B302" s="79">
        <v>0.95399999999999996</v>
      </c>
      <c r="C302" s="7">
        <v>6.0999999999999999E-2</v>
      </c>
    </row>
    <row r="303" spans="1:3" x14ac:dyDescent="0.25">
      <c r="A303" s="7"/>
      <c r="B303" s="79">
        <v>0.95199999999999996</v>
      </c>
      <c r="C303" s="7">
        <v>0.24199999999999999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rawish data</vt:lpstr>
      <vt:lpstr>tables &amp; graphs</vt:lpstr>
    </vt:vector>
  </TitlesOfParts>
  <Company>Tilburg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</dc:creator>
  <cp:lastModifiedBy>ellen</cp:lastModifiedBy>
  <dcterms:created xsi:type="dcterms:W3CDTF">2014-03-05T14:35:50Z</dcterms:created>
  <dcterms:modified xsi:type="dcterms:W3CDTF">2014-06-03T18:48:37Z</dcterms:modified>
</cp:coreProperties>
</file>